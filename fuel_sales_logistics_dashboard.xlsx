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naanaesi/Desktop/fuel-sales-dashboard/untitled folder/"/>
    </mc:Choice>
  </mc:AlternateContent>
  <xr:revisionPtr revIDLastSave="0" documentId="13_ncr:1_{B135C90D-5FF9-0A44-8F3A-D114BB4B55BE}" xr6:coauthVersionLast="47" xr6:coauthVersionMax="47" xr10:uidLastSave="{00000000-0000-0000-0000-000000000000}"/>
  <bookViews>
    <workbookView xWindow="0" yWindow="660" windowWidth="29400" windowHeight="18460" activeTab="1" xr2:uid="{151A4BBD-3395-3E4D-9890-07CF70D0025B}"/>
  </bookViews>
  <sheets>
    <sheet name="Sales Dashboard" sheetId="3" r:id="rId1"/>
    <sheet name="Logistics Dashboard" sheetId="7" r:id="rId2"/>
    <sheet name="Dataset" sheetId="1" state="hidden" r:id="rId3"/>
    <sheet name="Pivot for logistics" sheetId="8" state="hidden" r:id="rId4"/>
    <sheet name="Pivot tables" sheetId="2" state="hidden" r:id="rId5"/>
    <sheet name="Key cards" sheetId="5" state="hidden" r:id="rId6"/>
    <sheet name="Detail1" sheetId="6" state="hidden" r:id="rId7"/>
  </sheets>
  <definedNames>
    <definedName name="_xlnm.Print_Area" localSheetId="1">'Logistics Dashboard'!$A$1:$O$73</definedName>
    <definedName name="_xlnm.Print_Area" localSheetId="0">'Sales Dashboard'!$A$1:$O$74</definedName>
    <definedName name="Slicer_Fuel_Type">#N/A</definedName>
    <definedName name="Slicer_Region">#N/A</definedName>
    <definedName name="Slicer_Station">#N/A</definedName>
  </definedNames>
  <calcPr calcId="191029"/>
  <pivotCaches>
    <pivotCache cacheId="8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H1003" i="1"/>
  <c r="J1003" i="1"/>
  <c r="I1003" i="1"/>
  <c r="E100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P12" i="2"/>
  <c r="I9" i="2"/>
  <c r="E19" i="2"/>
  <c r="C6" i="5"/>
  <c r="B6" i="5"/>
  <c r="A6" i="5"/>
  <c r="D6" i="5"/>
  <c r="S11" i="2"/>
  <c r="C6" i="8"/>
  <c r="B6" i="8"/>
  <c r="A6" i="8"/>
  <c r="I1006" i="1" l="1"/>
</calcChain>
</file>

<file path=xl/sharedStrings.xml><?xml version="1.0" encoding="utf-8"?>
<sst xmlns="http://schemas.openxmlformats.org/spreadsheetml/2006/main" count="7117" uniqueCount="60">
  <si>
    <t>Date</t>
  </si>
  <si>
    <t>Station</t>
  </si>
  <si>
    <t>Region</t>
  </si>
  <si>
    <t>Fuel_Type</t>
  </si>
  <si>
    <t>Liters_Sold</t>
  </si>
  <si>
    <t>Price_per_Liter</t>
  </si>
  <si>
    <t>Cost_per_Liter</t>
  </si>
  <si>
    <t>Revenue</t>
  </si>
  <si>
    <t>Cost</t>
  </si>
  <si>
    <t>Profit</t>
  </si>
  <si>
    <t>Station 15</t>
  </si>
  <si>
    <t>Central</t>
  </si>
  <si>
    <t>Petrol</t>
  </si>
  <si>
    <t>Station 4</t>
  </si>
  <si>
    <t>LPG</t>
  </si>
  <si>
    <t>Station 13</t>
  </si>
  <si>
    <t>Station 11</t>
  </si>
  <si>
    <t>Western</t>
  </si>
  <si>
    <t>Diesel</t>
  </si>
  <si>
    <t>Station 3</t>
  </si>
  <si>
    <t>Eastern</t>
  </si>
  <si>
    <t>Station 1</t>
  </si>
  <si>
    <t>Station 6</t>
  </si>
  <si>
    <t>Greater Accra</t>
  </si>
  <si>
    <t>Station 2</t>
  </si>
  <si>
    <t>Station 8</t>
  </si>
  <si>
    <t>Station 10</t>
  </si>
  <si>
    <t>Station 5</t>
  </si>
  <si>
    <t>Station 7</t>
  </si>
  <si>
    <t>Ashanti</t>
  </si>
  <si>
    <t>Station 12</t>
  </si>
  <si>
    <t>Station 9</t>
  </si>
  <si>
    <t>Station 14</t>
  </si>
  <si>
    <t>Month</t>
  </si>
  <si>
    <t>Row Labels</t>
  </si>
  <si>
    <t>Jan</t>
  </si>
  <si>
    <t>Feb</t>
  </si>
  <si>
    <t>Mar</t>
  </si>
  <si>
    <t>Apr</t>
  </si>
  <si>
    <t>May</t>
  </si>
  <si>
    <t>Jun</t>
  </si>
  <si>
    <t>Jul</t>
  </si>
  <si>
    <t>Aug</t>
  </si>
  <si>
    <t>Sep</t>
  </si>
  <si>
    <t>Oct</t>
  </si>
  <si>
    <t>Nov</t>
  </si>
  <si>
    <t>Dec</t>
  </si>
  <si>
    <t>Grand Total</t>
  </si>
  <si>
    <t>Sum of Revenue</t>
  </si>
  <si>
    <t>Column Labels</t>
  </si>
  <si>
    <t>Sum of Profit</t>
  </si>
  <si>
    <t>Sum of Liters_Sold</t>
  </si>
  <si>
    <t>Sum of Profit Margin</t>
  </si>
  <si>
    <t>Details for Sum of Revenue</t>
  </si>
  <si>
    <t>Delivery volume</t>
  </si>
  <si>
    <t>Delivery Cost</t>
  </si>
  <si>
    <t>Delivery Efficiency</t>
  </si>
  <si>
    <t>Sum of Delivery volume</t>
  </si>
  <si>
    <t>Sum of Delivery Cost</t>
  </si>
  <si>
    <t>Average of Delivery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</si>
</sst>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_([$GHS]\ * #,##0.00_);_([$GHS]\ * \(#,##0.00\);_([$GHS]\ * &quot;-&quot;??_);_(@_)"/>
    <numFmt numFmtId="167" formatCode="[$GHS]\ #,##0.00"/>
  </numFmts>
  <fonts count="5"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43" fontId="0" fillId="0" borderId="0" xfId="1" applyFont="1"/>
    <xf numFmtId="44" fontId="0" fillId="0" borderId="0" xfId="1" applyNumberFormat="1" applyFont="1"/>
    <xf numFmtId="164" fontId="0" fillId="0" borderId="0" xfId="1" applyNumberFormat="1" applyFont="1"/>
    <xf numFmtId="10" fontId="0" fillId="0" borderId="0" xfId="0" applyNumberFormat="1"/>
    <xf numFmtId="0" fontId="3" fillId="0" borderId="0" xfId="0" applyFont="1" applyAlignment="1">
      <alignment vertical="center"/>
    </xf>
    <xf numFmtId="165" fontId="0" fillId="0" borderId="0" xfId="0" applyNumberFormat="1"/>
    <xf numFmtId="0" fontId="2" fillId="0" borderId="0" xfId="0" applyFont="1"/>
    <xf numFmtId="166" fontId="0" fillId="0" borderId="0" xfId="0" applyNumberFormat="1"/>
    <xf numFmtId="166" fontId="0" fillId="0" borderId="0" xfId="1" applyNumberFormat="1" applyFont="1"/>
    <xf numFmtId="10" fontId="0" fillId="0" borderId="0" xfId="1" applyNumberFormat="1" applyFont="1"/>
    <xf numFmtId="167" fontId="0" fillId="0" borderId="0" xfId="0" applyNumberFormat="1"/>
    <xf numFmtId="2" fontId="0" fillId="0" borderId="0" xfId="0" applyNumberFormat="1"/>
    <xf numFmtId="164" fontId="0" fillId="0" borderId="0" xfId="0" applyNumberFormat="1"/>
    <xf numFmtId="0" fontId="0" fillId="0" borderId="0" xfId="0" applyNumberFormat="1"/>
  </cellXfs>
  <cellStyles count="2">
    <cellStyle name="Comma" xfId="1" builtinId="3"/>
    <cellStyle name="Normal" xfId="0" builtinId="0"/>
  </cellStyles>
  <dxfs count="43">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9" formatCode="m/d/yy"/>
    </dxf>
    <dxf>
      <numFmt numFmtId="35" formatCode="_(* #,##0.00_);_(* \(#,##0.00\);_(* &quot;-&quot;??_);_(@_)"/>
    </dxf>
    <dxf>
      <numFmt numFmtId="165" formatCode="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2" formatCode="0.00"/>
    </dxf>
    <dxf>
      <numFmt numFmtId="0" formatCode="General"/>
    </dxf>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tables!PivotTable1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Fuel sales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tables'!$B$3:$B$4</c:f>
              <c:strCache>
                <c:ptCount val="1"/>
                <c:pt idx="0">
                  <c:v>Diesel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tables'!$B$5:$B$17</c:f>
              <c:numCache>
                <c:formatCode>_(* #,##0.00_);_(* \(#,##0.00\);_(* "-"??_);_(@_)</c:formatCode>
                <c:ptCount val="12"/>
                <c:pt idx="0">
                  <c:v>128193.59999999995</c:v>
                </c:pt>
                <c:pt idx="1">
                  <c:v>154900.7999999999</c:v>
                </c:pt>
                <c:pt idx="2">
                  <c:v>78847.199999999953</c:v>
                </c:pt>
                <c:pt idx="3">
                  <c:v>125054.39999999997</c:v>
                </c:pt>
                <c:pt idx="4">
                  <c:v>118289.99999999994</c:v>
                </c:pt>
                <c:pt idx="5">
                  <c:v>86642.399999999936</c:v>
                </c:pt>
                <c:pt idx="6">
                  <c:v>116726.39999999992</c:v>
                </c:pt>
                <c:pt idx="7">
                  <c:v>150602.39999999988</c:v>
                </c:pt>
                <c:pt idx="8">
                  <c:v>117175.1999999999</c:v>
                </c:pt>
                <c:pt idx="9">
                  <c:v>98798.399999999921</c:v>
                </c:pt>
                <c:pt idx="10">
                  <c:v>117315.59999999996</c:v>
                </c:pt>
                <c:pt idx="11">
                  <c:v>124123.19999999995</c:v>
                </c:pt>
              </c:numCache>
            </c:numRef>
          </c:val>
          <c:smooth val="0"/>
          <c:extLst>
            <c:ext xmlns:c16="http://schemas.microsoft.com/office/drawing/2014/chart" uri="{C3380CC4-5D6E-409C-BE32-E72D297353CC}">
              <c16:uniqueId val="{00000000-DE9B-BE49-B067-BF233261A268}"/>
            </c:ext>
          </c:extLst>
        </c:ser>
        <c:ser>
          <c:idx val="1"/>
          <c:order val="1"/>
          <c:tx>
            <c:strRef>
              <c:f>'Pivot tables'!$C$3:$C$4</c:f>
              <c:strCache>
                <c:ptCount val="1"/>
                <c:pt idx="0">
                  <c:v>LPG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_(* #,##0.00_);_(* \(#,##0.00\);_(* "-"??_);_(@_)</c:formatCode>
                <c:ptCount val="12"/>
                <c:pt idx="0">
                  <c:v>31170.600000000002</c:v>
                </c:pt>
                <c:pt idx="1">
                  <c:v>39061.799999999996</c:v>
                </c:pt>
                <c:pt idx="2">
                  <c:v>41498.999999999993</c:v>
                </c:pt>
                <c:pt idx="3">
                  <c:v>25680.6</c:v>
                </c:pt>
                <c:pt idx="4">
                  <c:v>42241.5</c:v>
                </c:pt>
                <c:pt idx="5">
                  <c:v>39717.000000000007</c:v>
                </c:pt>
                <c:pt idx="6">
                  <c:v>31011.300000000003</c:v>
                </c:pt>
                <c:pt idx="7">
                  <c:v>44638.200000000004</c:v>
                </c:pt>
                <c:pt idx="8">
                  <c:v>46125</c:v>
                </c:pt>
                <c:pt idx="9">
                  <c:v>41328</c:v>
                </c:pt>
                <c:pt idx="10">
                  <c:v>39548.700000000004</c:v>
                </c:pt>
                <c:pt idx="11">
                  <c:v>42027.30000000001</c:v>
                </c:pt>
              </c:numCache>
            </c:numRef>
          </c:val>
          <c:smooth val="0"/>
          <c:extLst>
            <c:ext xmlns:c16="http://schemas.microsoft.com/office/drawing/2014/chart" uri="{C3380CC4-5D6E-409C-BE32-E72D297353CC}">
              <c16:uniqueId val="{00000006-DE9B-BE49-B067-BF233261A268}"/>
            </c:ext>
          </c:extLst>
        </c:ser>
        <c:ser>
          <c:idx val="2"/>
          <c:order val="2"/>
          <c:tx>
            <c:strRef>
              <c:f>'Pivot tables'!$D$3:$D$4</c:f>
              <c:strCache>
                <c:ptCount val="1"/>
                <c:pt idx="0">
                  <c:v>Petrol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tables'!$D$5:$D$17</c:f>
              <c:numCache>
                <c:formatCode>_(* #,##0.00_);_(* \(#,##0.00\);_(* "-"??_);_(@_)</c:formatCode>
                <c:ptCount val="12"/>
                <c:pt idx="0">
                  <c:v>157228.75</c:v>
                </c:pt>
                <c:pt idx="1">
                  <c:v>177931.25</c:v>
                </c:pt>
                <c:pt idx="2">
                  <c:v>109570</c:v>
                </c:pt>
                <c:pt idx="3">
                  <c:v>218860</c:v>
                </c:pt>
                <c:pt idx="4">
                  <c:v>231371.25</c:v>
                </c:pt>
                <c:pt idx="5">
                  <c:v>154890</c:v>
                </c:pt>
                <c:pt idx="6">
                  <c:v>120870</c:v>
                </c:pt>
                <c:pt idx="7">
                  <c:v>190295</c:v>
                </c:pt>
                <c:pt idx="8">
                  <c:v>167316.25</c:v>
                </c:pt>
                <c:pt idx="9">
                  <c:v>156605</c:v>
                </c:pt>
                <c:pt idx="10">
                  <c:v>138326.25</c:v>
                </c:pt>
                <c:pt idx="11">
                  <c:v>171236.25</c:v>
                </c:pt>
              </c:numCache>
            </c:numRef>
          </c:val>
          <c:smooth val="0"/>
          <c:extLst>
            <c:ext xmlns:c16="http://schemas.microsoft.com/office/drawing/2014/chart" uri="{C3380CC4-5D6E-409C-BE32-E72D297353CC}">
              <c16:uniqueId val="{00000007-DE9B-BE49-B067-BF233261A268}"/>
            </c:ext>
          </c:extLst>
        </c:ser>
        <c:dLbls>
          <c:showLegendKey val="0"/>
          <c:showVal val="0"/>
          <c:showCatName val="0"/>
          <c:showSerName val="0"/>
          <c:showPercent val="0"/>
          <c:showBubbleSize val="0"/>
        </c:dLbls>
        <c:marker val="1"/>
        <c:smooth val="0"/>
        <c:axId val="231321407"/>
        <c:axId val="231310207"/>
      </c:lineChart>
      <c:catAx>
        <c:axId val="2313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10207"/>
        <c:crosses val="autoZero"/>
        <c:auto val="1"/>
        <c:lblAlgn val="ctr"/>
        <c:lblOffset val="100"/>
        <c:noMultiLvlLbl val="0"/>
      </c:catAx>
      <c:valAx>
        <c:axId val="23131020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3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tables!PivotTable2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j-lt"/>
                <a:ea typeface="+mn-ea"/>
                <a:cs typeface="+mn-cs"/>
              </a:defRPr>
            </a:pPr>
            <a:r>
              <a:rPr lang="en-US" b="1">
                <a:latin typeface="+mj-lt"/>
              </a:rPr>
              <a:t>Revenue By Fuel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tables'!$I$3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DB-1D4C-BDEE-6073993D2A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DB-1D4C-BDEE-6073993D2AC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DB-1D4C-BDEE-6073993D2A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tables'!$H$4:$H$7</c:f>
              <c:strCache>
                <c:ptCount val="3"/>
                <c:pt idx="0">
                  <c:v>Diesel</c:v>
                </c:pt>
                <c:pt idx="1">
                  <c:v>LPG</c:v>
                </c:pt>
                <c:pt idx="2">
                  <c:v>Petrol</c:v>
                </c:pt>
              </c:strCache>
            </c:strRef>
          </c:cat>
          <c:val>
            <c:numRef>
              <c:f>'Pivot tables'!$I$4:$I$7</c:f>
              <c:numCache>
                <c:formatCode>_(* #,##0.00_);_(* \(#,##0.00\);_(* "-"??_);_(@_)</c:formatCode>
                <c:ptCount val="3"/>
                <c:pt idx="0">
                  <c:v>1416669.5999999999</c:v>
                </c:pt>
                <c:pt idx="1">
                  <c:v>464049.00000000006</c:v>
                </c:pt>
                <c:pt idx="2">
                  <c:v>1994500</c:v>
                </c:pt>
              </c:numCache>
            </c:numRef>
          </c:val>
          <c:extLst>
            <c:ext xmlns:c16="http://schemas.microsoft.com/office/drawing/2014/chart" uri="{C3380CC4-5D6E-409C-BE32-E72D297353CC}">
              <c16:uniqueId val="{00000006-C9DB-1D4C-BDEE-6073993D2A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tables'!$M$3:$M$4</c:f>
              <c:strCache>
                <c:ptCount val="1"/>
                <c:pt idx="0">
                  <c:v>Diesel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tables'!$M$5:$M$10</c:f>
              <c:numCache>
                <c:formatCode>_(* #,##0.00_);_(* \(#,##0.00\);_(* "-"??_);_(@_)</c:formatCode>
                <c:ptCount val="5"/>
                <c:pt idx="0">
                  <c:v>264261.59999999986</c:v>
                </c:pt>
                <c:pt idx="1">
                  <c:v>269056.79999999976</c:v>
                </c:pt>
                <c:pt idx="2">
                  <c:v>333485.99999999977</c:v>
                </c:pt>
                <c:pt idx="3">
                  <c:v>312302.39999999991</c:v>
                </c:pt>
                <c:pt idx="4">
                  <c:v>237562.79999999981</c:v>
                </c:pt>
              </c:numCache>
            </c:numRef>
          </c:val>
          <c:extLst>
            <c:ext xmlns:c16="http://schemas.microsoft.com/office/drawing/2014/chart" uri="{C3380CC4-5D6E-409C-BE32-E72D297353CC}">
              <c16:uniqueId val="{00000000-5F70-FA4D-BAF7-78A06367C6A5}"/>
            </c:ext>
          </c:extLst>
        </c:ser>
        <c:ser>
          <c:idx val="1"/>
          <c:order val="1"/>
          <c:tx>
            <c:strRef>
              <c:f>'Pivot tables'!$N$3:$N$4</c:f>
              <c:strCache>
                <c:ptCount val="1"/>
                <c:pt idx="0">
                  <c:v>LPG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tables'!$N$5:$N$10</c:f>
              <c:numCache>
                <c:formatCode>_(* #,##0.00_);_(* \(#,##0.00\);_(* "-"??_);_(@_)</c:formatCode>
                <c:ptCount val="5"/>
                <c:pt idx="0">
                  <c:v>91991.699999999983</c:v>
                </c:pt>
                <c:pt idx="1">
                  <c:v>75200.399999999994</c:v>
                </c:pt>
                <c:pt idx="2">
                  <c:v>99078.3</c:v>
                </c:pt>
                <c:pt idx="3">
                  <c:v>115469.09999999998</c:v>
                </c:pt>
                <c:pt idx="4">
                  <c:v>82309.5</c:v>
                </c:pt>
              </c:numCache>
            </c:numRef>
          </c:val>
          <c:extLst>
            <c:ext xmlns:c16="http://schemas.microsoft.com/office/drawing/2014/chart" uri="{C3380CC4-5D6E-409C-BE32-E72D297353CC}">
              <c16:uniqueId val="{00000006-5F70-FA4D-BAF7-78A06367C6A5}"/>
            </c:ext>
          </c:extLst>
        </c:ser>
        <c:ser>
          <c:idx val="2"/>
          <c:order val="2"/>
          <c:tx>
            <c:strRef>
              <c:f>'Pivot tables'!$O$3:$O$4</c:f>
              <c:strCache>
                <c:ptCount val="1"/>
                <c:pt idx="0">
                  <c:v>Petrol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tables'!$L$5:$L$10</c:f>
              <c:strCache>
                <c:ptCount val="5"/>
                <c:pt idx="0">
                  <c:v>Ashanti</c:v>
                </c:pt>
                <c:pt idx="1">
                  <c:v>Central</c:v>
                </c:pt>
                <c:pt idx="2">
                  <c:v>Eastern</c:v>
                </c:pt>
                <c:pt idx="3">
                  <c:v>Greater Accra</c:v>
                </c:pt>
                <c:pt idx="4">
                  <c:v>Western</c:v>
                </c:pt>
              </c:strCache>
            </c:strRef>
          </c:cat>
          <c:val>
            <c:numRef>
              <c:f>'Pivot tables'!$O$5:$O$10</c:f>
              <c:numCache>
                <c:formatCode>_(* #,##0.00_);_(* \(#,##0.00\);_(* "-"??_);_(@_)</c:formatCode>
                <c:ptCount val="5"/>
                <c:pt idx="0">
                  <c:v>417015</c:v>
                </c:pt>
                <c:pt idx="1">
                  <c:v>459306.25</c:v>
                </c:pt>
                <c:pt idx="2">
                  <c:v>420821.25</c:v>
                </c:pt>
                <c:pt idx="3">
                  <c:v>324743.75</c:v>
                </c:pt>
                <c:pt idx="4">
                  <c:v>372613.75</c:v>
                </c:pt>
              </c:numCache>
            </c:numRef>
          </c:val>
          <c:extLst>
            <c:ext xmlns:c16="http://schemas.microsoft.com/office/drawing/2014/chart" uri="{C3380CC4-5D6E-409C-BE32-E72D297353CC}">
              <c16:uniqueId val="{00000007-5F70-FA4D-BAF7-78A06367C6A5}"/>
            </c:ext>
          </c:extLst>
        </c:ser>
        <c:dLbls>
          <c:dLblPos val="outEnd"/>
          <c:showLegendKey val="0"/>
          <c:showVal val="1"/>
          <c:showCatName val="0"/>
          <c:showSerName val="0"/>
          <c:showPercent val="0"/>
          <c:showBubbleSize val="0"/>
        </c:dLbls>
        <c:gapWidth val="100"/>
        <c:overlap val="-24"/>
        <c:axId val="225563007"/>
        <c:axId val="482533247"/>
      </c:barChart>
      <c:catAx>
        <c:axId val="2255630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2533247"/>
        <c:crosses val="autoZero"/>
        <c:auto val="1"/>
        <c:lblAlgn val="ctr"/>
        <c:lblOffset val="100"/>
        <c:noMultiLvlLbl val="0"/>
      </c:catAx>
      <c:valAx>
        <c:axId val="482533247"/>
        <c:scaling>
          <c:orientation val="minMax"/>
        </c:scaling>
        <c:delete val="0"/>
        <c:axPos val="l"/>
        <c:majorGridlines>
          <c:spPr>
            <a:ln w="9525" cap="flat" cmpd="sng" algn="ctr">
              <a:solidFill>
                <a:schemeClr val="tx2">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5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tables!PivotTable4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r>
              <a:rPr lang="en-US" sz="1600" b="1"/>
              <a:t>Top 5 Performing Stations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tables'!$R$4:$R$9</c:f>
              <c:strCache>
                <c:ptCount val="5"/>
                <c:pt idx="0">
                  <c:v>Station 1</c:v>
                </c:pt>
                <c:pt idx="1">
                  <c:v>Station 11</c:v>
                </c:pt>
                <c:pt idx="2">
                  <c:v>Station 13</c:v>
                </c:pt>
                <c:pt idx="3">
                  <c:v>Station 10</c:v>
                </c:pt>
                <c:pt idx="4">
                  <c:v>Station 2</c:v>
                </c:pt>
              </c:strCache>
            </c:strRef>
          </c:cat>
          <c:val>
            <c:numRef>
              <c:f>'Pivot tables'!$S$4:$S$9</c:f>
              <c:numCache>
                <c:formatCode>_(* #,##0.00_);_(* \(#,##0.00\);_(* "-"??_);_(@_)</c:formatCode>
                <c:ptCount val="5"/>
                <c:pt idx="0">
                  <c:v>299590.45</c:v>
                </c:pt>
                <c:pt idx="1">
                  <c:v>298693.24999999994</c:v>
                </c:pt>
                <c:pt idx="2">
                  <c:v>292308.19999999984</c:v>
                </c:pt>
                <c:pt idx="3">
                  <c:v>277690.09999999998</c:v>
                </c:pt>
                <c:pt idx="4">
                  <c:v>274373.14999999997</c:v>
                </c:pt>
              </c:numCache>
            </c:numRef>
          </c:val>
          <c:extLst>
            <c:ext xmlns:c16="http://schemas.microsoft.com/office/drawing/2014/chart" uri="{C3380CC4-5D6E-409C-BE32-E72D297353CC}">
              <c16:uniqueId val="{00000000-8245-8E42-B2AF-448F8B458E30}"/>
            </c:ext>
          </c:extLst>
        </c:ser>
        <c:dLbls>
          <c:dLblPos val="outEnd"/>
          <c:showLegendKey val="0"/>
          <c:showVal val="1"/>
          <c:showCatName val="0"/>
          <c:showSerName val="0"/>
          <c:showPercent val="0"/>
          <c:showBubbleSize val="0"/>
        </c:dLbls>
        <c:gapWidth val="199"/>
        <c:axId val="234609663"/>
        <c:axId val="234612351"/>
      </c:barChart>
      <c:catAx>
        <c:axId val="23460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34612351"/>
        <c:crosses val="autoZero"/>
        <c:auto val="1"/>
        <c:lblAlgn val="ctr"/>
        <c:lblOffset val="100"/>
        <c:noMultiLvlLbl val="0"/>
      </c:catAx>
      <c:valAx>
        <c:axId val="2346123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0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for logistics!PivotTable4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Delivery</a:t>
            </a:r>
            <a:r>
              <a:rPr lang="en-US" b="1" baseline="0"/>
              <a:t> Volume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for logistics'!$F$4</c:f>
              <c:strCache>
                <c:ptCount val="1"/>
                <c:pt idx="0">
                  <c:v>Total</c:v>
                </c:pt>
              </c:strCache>
            </c:strRef>
          </c:tx>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logistics'!$E$5:$E$10</c:f>
              <c:strCache>
                <c:ptCount val="5"/>
                <c:pt idx="0">
                  <c:v>Ashanti</c:v>
                </c:pt>
                <c:pt idx="1">
                  <c:v>Central</c:v>
                </c:pt>
                <c:pt idx="2">
                  <c:v>Eastern</c:v>
                </c:pt>
                <c:pt idx="3">
                  <c:v>Greater Accra</c:v>
                </c:pt>
                <c:pt idx="4">
                  <c:v>Western</c:v>
                </c:pt>
              </c:strCache>
            </c:strRef>
          </c:cat>
          <c:val>
            <c:numRef>
              <c:f>'Pivot for logistics'!$F$5:$F$10</c:f>
              <c:numCache>
                <c:formatCode>_(* #,##0_);_(* \(#,##0\);_(* "-"??_);_(@_)</c:formatCode>
                <c:ptCount val="5"/>
                <c:pt idx="0">
                  <c:v>656043</c:v>
                </c:pt>
                <c:pt idx="1">
                  <c:v>675215</c:v>
                </c:pt>
                <c:pt idx="2">
                  <c:v>724649</c:v>
                </c:pt>
                <c:pt idx="3">
                  <c:v>648346</c:v>
                </c:pt>
                <c:pt idx="4">
                  <c:v>587515</c:v>
                </c:pt>
              </c:numCache>
            </c:numRef>
          </c:val>
          <c:extLst>
            <c:ext xmlns:c16="http://schemas.microsoft.com/office/drawing/2014/chart" uri="{C3380CC4-5D6E-409C-BE32-E72D297353CC}">
              <c16:uniqueId val="{00000000-B75E-DD48-A7CD-357A7081C9F9}"/>
            </c:ext>
          </c:extLst>
        </c:ser>
        <c:dLbls>
          <c:showLegendKey val="0"/>
          <c:showVal val="0"/>
          <c:showCatName val="0"/>
          <c:showSerName val="0"/>
          <c:showPercent val="0"/>
          <c:showBubbleSize val="0"/>
        </c:dLbls>
        <c:gapWidth val="219"/>
        <c:axId val="2064638271"/>
        <c:axId val="2064636927"/>
      </c:barChart>
      <c:catAx>
        <c:axId val="206463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4636927"/>
        <c:crosses val="autoZero"/>
        <c:auto val="1"/>
        <c:lblAlgn val="ctr"/>
        <c:lblOffset val="100"/>
        <c:noMultiLvlLbl val="0"/>
      </c:catAx>
      <c:valAx>
        <c:axId val="206463692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463827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for logistics!PivotTable5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Delivery</a:t>
            </a:r>
            <a:r>
              <a:rPr lang="en-US" b="1" baseline="0"/>
              <a:t> Cost by Fuel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for logistics'!$J$4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logistics'!$I$5:$I$8</c:f>
              <c:strCache>
                <c:ptCount val="3"/>
                <c:pt idx="0">
                  <c:v>Diesel</c:v>
                </c:pt>
                <c:pt idx="1">
                  <c:v>LPG</c:v>
                </c:pt>
                <c:pt idx="2">
                  <c:v>Petrol</c:v>
                </c:pt>
              </c:strCache>
            </c:strRef>
          </c:cat>
          <c:val>
            <c:numRef>
              <c:f>'Pivot for logistics'!$J$5:$J$8</c:f>
              <c:numCache>
                <c:formatCode>_(* #,##0_);_(* \(#,##0\);_(* "-"??_);_(@_)</c:formatCode>
                <c:ptCount val="3"/>
                <c:pt idx="0">
                  <c:v>59027.900000000009</c:v>
                </c:pt>
                <c:pt idx="1">
                  <c:v>25780.499999999989</c:v>
                </c:pt>
                <c:pt idx="2">
                  <c:v>79780.000000000029</c:v>
                </c:pt>
              </c:numCache>
            </c:numRef>
          </c:val>
          <c:extLst>
            <c:ext xmlns:c16="http://schemas.microsoft.com/office/drawing/2014/chart" uri="{C3380CC4-5D6E-409C-BE32-E72D297353CC}">
              <c16:uniqueId val="{00000000-7F33-4648-AD53-50188E53E0A3}"/>
            </c:ext>
          </c:extLst>
        </c:ser>
        <c:dLbls>
          <c:showLegendKey val="0"/>
          <c:showVal val="0"/>
          <c:showCatName val="0"/>
          <c:showSerName val="0"/>
          <c:showPercent val="0"/>
          <c:showBubbleSize val="0"/>
        </c:dLbls>
        <c:gapWidth val="182"/>
        <c:axId val="2064660927"/>
        <c:axId val="2064003775"/>
      </c:barChart>
      <c:catAx>
        <c:axId val="20646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64003775"/>
        <c:crosses val="autoZero"/>
        <c:auto val="1"/>
        <c:lblAlgn val="ctr"/>
        <c:lblOffset val="100"/>
        <c:noMultiLvlLbl val="0"/>
      </c:catAx>
      <c:valAx>
        <c:axId val="20640037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466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for logistics!PivotTable6</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Delivery Trend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for logistics'!$O$4</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strRef>
              <c:f>'Pivot for logistics'!$N$5:$N$17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for logistics'!$O$5:$O$17</c:f>
              <c:numCache>
                <c:formatCode>_(* #,##0_);_(* \(#,##0\);_(* "-"??_);_(@_)</c:formatCode>
                <c:ptCount val="12"/>
                <c:pt idx="0">
                  <c:v>267245</c:v>
                </c:pt>
                <c:pt idx="1">
                  <c:v>314831</c:v>
                </c:pt>
                <c:pt idx="2">
                  <c:v>199472</c:v>
                </c:pt>
                <c:pt idx="3">
                  <c:v>307834</c:v>
                </c:pt>
                <c:pt idx="4">
                  <c:v>330607</c:v>
                </c:pt>
                <c:pt idx="5">
                  <c:v>240244</c:v>
                </c:pt>
                <c:pt idx="6">
                  <c:v>228425</c:v>
                </c:pt>
                <c:pt idx="7">
                  <c:v>327336</c:v>
                </c:pt>
                <c:pt idx="8">
                  <c:v>282749</c:v>
                </c:pt>
                <c:pt idx="9">
                  <c:v>253536</c:v>
                </c:pt>
                <c:pt idx="10">
                  <c:v>252367</c:v>
                </c:pt>
                <c:pt idx="11">
                  <c:v>287122</c:v>
                </c:pt>
              </c:numCache>
            </c:numRef>
          </c:val>
          <c:smooth val="0"/>
          <c:extLst>
            <c:ext xmlns:c16="http://schemas.microsoft.com/office/drawing/2014/chart" uri="{C3380CC4-5D6E-409C-BE32-E72D297353CC}">
              <c16:uniqueId val="{00000000-17DD-474C-8AED-352DD3B54BDC}"/>
            </c:ext>
          </c:extLst>
        </c:ser>
        <c:dLbls>
          <c:showLegendKey val="0"/>
          <c:showVal val="0"/>
          <c:showCatName val="0"/>
          <c:showSerName val="0"/>
          <c:showPercent val="0"/>
          <c:showBubbleSize val="0"/>
        </c:dLbls>
        <c:marker val="1"/>
        <c:smooth val="0"/>
        <c:axId val="2065462847"/>
        <c:axId val="2065455231"/>
      </c:lineChart>
      <c:catAx>
        <c:axId val="20654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65455231"/>
        <c:crosses val="autoZero"/>
        <c:auto val="1"/>
        <c:lblAlgn val="ctr"/>
        <c:lblOffset val="100"/>
        <c:noMultiLvlLbl val="0"/>
      </c:catAx>
      <c:valAx>
        <c:axId val="20654552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54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[fuel_sales_logistics_dashboard.xlsx]Pivot for logistics!PivotTable7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Stations</a:t>
            </a:r>
            <a:r>
              <a:rPr lang="en-US" b="1" baseline="0"/>
              <a:t> by Delivery Volume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31000">
                <a:srgbClr val="002060"/>
              </a:gs>
              <a:gs pos="66000">
                <a:schemeClr val="accent1">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for logistics'!$S$4</c:f>
              <c:strCache>
                <c:ptCount val="1"/>
                <c:pt idx="0">
                  <c:v>Total</c:v>
                </c:pt>
              </c:strCache>
            </c:strRef>
          </c:tx>
          <c:spPr>
            <a:gradFill flip="none" rotWithShape="1">
              <a:gsLst>
                <a:gs pos="0">
                  <a:schemeClr val="accent1">
                    <a:shade val="30000"/>
                    <a:satMod val="115000"/>
                  </a:schemeClr>
                </a:gs>
                <a:gs pos="31000">
                  <a:srgbClr val="002060"/>
                </a:gs>
                <a:gs pos="66000">
                  <a:schemeClr val="accent1">
                    <a:shade val="100000"/>
                    <a:satMod val="115000"/>
                  </a:scheme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logistics'!$R$5:$R$10</c:f>
              <c:strCache>
                <c:ptCount val="5"/>
                <c:pt idx="0">
                  <c:v>Station 1</c:v>
                </c:pt>
                <c:pt idx="1">
                  <c:v>Station 10</c:v>
                </c:pt>
                <c:pt idx="2">
                  <c:v>Station 11</c:v>
                </c:pt>
                <c:pt idx="3">
                  <c:v>Station 13</c:v>
                </c:pt>
                <c:pt idx="4">
                  <c:v>Station 2</c:v>
                </c:pt>
              </c:strCache>
            </c:strRef>
          </c:cat>
          <c:val>
            <c:numRef>
              <c:f>'Pivot for logistics'!$S$5:$S$10</c:f>
              <c:numCache>
                <c:formatCode>_(* #,##0_);_(* \(#,##0\);_(* "-"??_);_(@_)</c:formatCode>
                <c:ptCount val="5"/>
                <c:pt idx="0">
                  <c:v>259041</c:v>
                </c:pt>
                <c:pt idx="1">
                  <c:v>230685</c:v>
                </c:pt>
                <c:pt idx="2">
                  <c:v>251846</c:v>
                </c:pt>
                <c:pt idx="3">
                  <c:v>244369</c:v>
                </c:pt>
                <c:pt idx="4">
                  <c:v>234920</c:v>
                </c:pt>
              </c:numCache>
            </c:numRef>
          </c:val>
          <c:extLst>
            <c:ext xmlns:c16="http://schemas.microsoft.com/office/drawing/2014/chart" uri="{C3380CC4-5D6E-409C-BE32-E72D297353CC}">
              <c16:uniqueId val="{00000000-3F52-4A43-915F-DC315FEF71D9}"/>
            </c:ext>
          </c:extLst>
        </c:ser>
        <c:dLbls>
          <c:showLegendKey val="0"/>
          <c:showVal val="0"/>
          <c:showCatName val="0"/>
          <c:showSerName val="0"/>
          <c:showPercent val="0"/>
          <c:showBubbleSize val="0"/>
        </c:dLbls>
        <c:gapWidth val="150"/>
        <c:shape val="box"/>
        <c:axId val="2065758655"/>
        <c:axId val="2065759551"/>
        <c:axId val="0"/>
      </c:bar3DChart>
      <c:catAx>
        <c:axId val="2065758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759551"/>
        <c:crosses val="autoZero"/>
        <c:auto val="1"/>
        <c:lblAlgn val="ctr"/>
        <c:lblOffset val="100"/>
        <c:noMultiLvlLbl val="0"/>
      </c:catAx>
      <c:valAx>
        <c:axId val="206575955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75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28222</xdr:colOff>
      <xdr:row>0</xdr:row>
      <xdr:rowOff>42332</xdr:rowOff>
    </xdr:from>
    <xdr:to>
      <xdr:col>15</xdr:col>
      <xdr:colOff>0</xdr:colOff>
      <xdr:row>73</xdr:row>
      <xdr:rowOff>142875</xdr:rowOff>
    </xdr:to>
    <xdr:sp macro="" textlink="">
      <xdr:nvSpPr>
        <xdr:cNvPr id="9" name="Rectangle 8">
          <a:extLst>
            <a:ext uri="{FF2B5EF4-FFF2-40B4-BE49-F238E27FC236}">
              <a16:creationId xmlns:a16="http://schemas.microsoft.com/office/drawing/2014/main" id="{BE6152EC-0DAE-37B7-7954-45DAA735B4ED}"/>
            </a:ext>
          </a:extLst>
        </xdr:cNvPr>
        <xdr:cNvSpPr/>
      </xdr:nvSpPr>
      <xdr:spPr>
        <a:xfrm>
          <a:off x="28222" y="42332"/>
          <a:ext cx="12354278" cy="15054793"/>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28573</xdr:colOff>
      <xdr:row>4</xdr:row>
      <xdr:rowOff>34923</xdr:rowOff>
    </xdr:from>
    <xdr:to>
      <xdr:col>3</xdr:col>
      <xdr:colOff>478153</xdr:colOff>
      <xdr:row>9</xdr:row>
      <xdr:rowOff>31749</xdr:rowOff>
    </xdr:to>
    <xdr:sp macro="" textlink="">
      <xdr:nvSpPr>
        <xdr:cNvPr id="17" name="Rounded Rectangle 16">
          <a:extLst>
            <a:ext uri="{FF2B5EF4-FFF2-40B4-BE49-F238E27FC236}">
              <a16:creationId xmlns:a16="http://schemas.microsoft.com/office/drawing/2014/main" id="{BE54D8F8-0024-D846-A620-0CCFE73AC543}"/>
            </a:ext>
          </a:extLst>
        </xdr:cNvPr>
        <xdr:cNvSpPr/>
      </xdr:nvSpPr>
      <xdr:spPr>
        <a:xfrm>
          <a:off x="28573" y="860423"/>
          <a:ext cx="2926080" cy="1028701"/>
        </a:xfrm>
        <a:prstGeom prst="roundRect">
          <a:avLst>
            <a:gd name="adj" fmla="val 6667"/>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t>Total Revenue</a:t>
          </a:r>
        </a:p>
        <a:p>
          <a:pPr algn="ctr"/>
          <a:endParaRPr lang="en-US" sz="1800"/>
        </a:p>
      </xdr:txBody>
    </xdr:sp>
    <xdr:clientData/>
  </xdr:twoCellAnchor>
  <xdr:twoCellAnchor>
    <xdr:from>
      <xdr:col>0</xdr:col>
      <xdr:colOff>25400</xdr:colOff>
      <xdr:row>10</xdr:row>
      <xdr:rowOff>0</xdr:rowOff>
    </xdr:from>
    <xdr:to>
      <xdr:col>10</xdr:col>
      <xdr:colOff>800100</xdr:colOff>
      <xdr:row>25</xdr:row>
      <xdr:rowOff>63500</xdr:rowOff>
    </xdr:to>
    <xdr:graphicFrame macro="">
      <xdr:nvGraphicFramePr>
        <xdr:cNvPr id="2" name="Chart 1">
          <a:extLst>
            <a:ext uri="{FF2B5EF4-FFF2-40B4-BE49-F238E27FC236}">
              <a16:creationId xmlns:a16="http://schemas.microsoft.com/office/drawing/2014/main" id="{6A88157D-FE98-594D-B43D-5466C5A18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25</xdr:row>
      <xdr:rowOff>88900</xdr:rowOff>
    </xdr:from>
    <xdr:to>
      <xdr:col>5</xdr:col>
      <xdr:colOff>457200</xdr:colOff>
      <xdr:row>39</xdr:row>
      <xdr:rowOff>38100</xdr:rowOff>
    </xdr:to>
    <xdr:graphicFrame macro="">
      <xdr:nvGraphicFramePr>
        <xdr:cNvPr id="3" name="Chart 2">
          <a:extLst>
            <a:ext uri="{FF2B5EF4-FFF2-40B4-BE49-F238E27FC236}">
              <a16:creationId xmlns:a16="http://schemas.microsoft.com/office/drawing/2014/main" id="{A9A8790F-00A6-AC40-8F02-AB4A4393A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63500</xdr:rowOff>
    </xdr:from>
    <xdr:to>
      <xdr:col>10</xdr:col>
      <xdr:colOff>787400</xdr:colOff>
      <xdr:row>54</xdr:row>
      <xdr:rowOff>0</xdr:rowOff>
    </xdr:to>
    <xdr:graphicFrame macro="">
      <xdr:nvGraphicFramePr>
        <xdr:cNvPr id="4" name="Chart 3">
          <a:extLst>
            <a:ext uri="{FF2B5EF4-FFF2-40B4-BE49-F238E27FC236}">
              <a16:creationId xmlns:a16="http://schemas.microsoft.com/office/drawing/2014/main" id="{75A873B2-D891-A249-A421-86B7C87DD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482600</xdr:colOff>
      <xdr:row>25</xdr:row>
      <xdr:rowOff>88900</xdr:rowOff>
    </xdr:from>
    <xdr:to>
      <xdr:col>10</xdr:col>
      <xdr:colOff>787400</xdr:colOff>
      <xdr:row>39</xdr:row>
      <xdr:rowOff>42164</xdr:rowOff>
    </xdr:to>
    <xdr:graphicFrame macro="">
      <xdr:nvGraphicFramePr>
        <xdr:cNvPr id="5" name="Chart 4">
          <a:extLst>
            <a:ext uri="{FF2B5EF4-FFF2-40B4-BE49-F238E27FC236}">
              <a16:creationId xmlns:a16="http://schemas.microsoft.com/office/drawing/2014/main" id="{D4C2F068-6821-8244-B46B-284FEE514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5644</xdr:colOff>
      <xdr:row>26</xdr:row>
      <xdr:rowOff>98779</xdr:rowOff>
    </xdr:from>
    <xdr:to>
      <xdr:col>14</xdr:col>
      <xdr:colOff>790222</xdr:colOff>
      <xdr:row>54</xdr:row>
      <xdr:rowOff>15875</xdr:rowOff>
    </xdr:to>
    <mc:AlternateContent xmlns:mc="http://schemas.openxmlformats.org/markup-compatibility/2006" xmlns:a14="http://schemas.microsoft.com/office/drawing/2010/main">
      <mc:Choice Requires="a14">
        <xdr:graphicFrame macro="">
          <xdr:nvGraphicFramePr>
            <xdr:cNvPr id="6" name="Station">
              <a:extLst>
                <a:ext uri="{FF2B5EF4-FFF2-40B4-BE49-F238E27FC236}">
                  <a16:creationId xmlns:a16="http://schemas.microsoft.com/office/drawing/2014/main" id="{72CF8C10-5FF0-3846-8399-6961B69BB1C6}"/>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9086144" y="5475112"/>
              <a:ext cx="3261078" cy="5094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10</xdr:row>
      <xdr:rowOff>0</xdr:rowOff>
    </xdr:from>
    <xdr:to>
      <xdr:col>14</xdr:col>
      <xdr:colOff>804333</xdr:colOff>
      <xdr:row>19</xdr:row>
      <xdr:rowOff>56443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E5C1AFA-CE64-F04F-91B7-CA370C557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93200" y="1989667"/>
              <a:ext cx="3268133" cy="1961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831144</xdr:colOff>
      <xdr:row>19</xdr:row>
      <xdr:rowOff>71966</xdr:rowOff>
    </xdr:from>
    <xdr:to>
      <xdr:col>14</xdr:col>
      <xdr:colOff>804333</xdr:colOff>
      <xdr:row>26</xdr:row>
      <xdr:rowOff>71966</xdr:rowOff>
    </xdr:to>
    <mc:AlternateContent xmlns:mc="http://schemas.openxmlformats.org/markup-compatibility/2006" xmlns:a14="http://schemas.microsoft.com/office/drawing/2010/main">
      <mc:Choice Requires="a14">
        <xdr:graphicFrame macro="">
          <xdr:nvGraphicFramePr>
            <xdr:cNvPr id="8" name="Fuel_Type">
              <a:extLst>
                <a:ext uri="{FF2B5EF4-FFF2-40B4-BE49-F238E27FC236}">
                  <a16:creationId xmlns:a16="http://schemas.microsoft.com/office/drawing/2014/main" id="{C2F87FFC-8EF1-444B-AE55-AB6E8E27797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9086144" y="3966633"/>
              <a:ext cx="3275189" cy="148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50799</xdr:colOff>
      <xdr:row>0</xdr:row>
      <xdr:rowOff>42333</xdr:rowOff>
    </xdr:from>
    <xdr:to>
      <xdr:col>14</xdr:col>
      <xdr:colOff>790222</xdr:colOff>
      <xdr:row>4</xdr:row>
      <xdr:rowOff>0</xdr:rowOff>
    </xdr:to>
    <xdr:sp macro="" textlink="">
      <xdr:nvSpPr>
        <xdr:cNvPr id="10" name="Rounded Rectangle 9">
          <a:extLst>
            <a:ext uri="{FF2B5EF4-FFF2-40B4-BE49-F238E27FC236}">
              <a16:creationId xmlns:a16="http://schemas.microsoft.com/office/drawing/2014/main" id="{F23539DD-7B57-62EE-D3B1-7A9351C43965}"/>
            </a:ext>
          </a:extLst>
        </xdr:cNvPr>
        <xdr:cNvSpPr/>
      </xdr:nvSpPr>
      <xdr:spPr>
        <a:xfrm>
          <a:off x="50799" y="42333"/>
          <a:ext cx="12395201" cy="747889"/>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SALES PERFORMANCE</a:t>
          </a:r>
          <a:r>
            <a:rPr lang="en-US" sz="3600" b="1" baseline="0"/>
            <a:t> DASHBOARD</a:t>
          </a:r>
          <a:endParaRPr lang="en-US" sz="3600" b="1"/>
        </a:p>
      </xdr:txBody>
    </xdr:sp>
    <xdr:clientData/>
  </xdr:twoCellAnchor>
  <xdr:twoCellAnchor>
    <xdr:from>
      <xdr:col>3</xdr:col>
      <xdr:colOff>531282</xdr:colOff>
      <xdr:row>4</xdr:row>
      <xdr:rowOff>49035</xdr:rowOff>
    </xdr:from>
    <xdr:to>
      <xdr:col>7</xdr:col>
      <xdr:colOff>264300</xdr:colOff>
      <xdr:row>9</xdr:row>
      <xdr:rowOff>23000</xdr:rowOff>
    </xdr:to>
    <xdr:sp macro="" textlink="">
      <xdr:nvSpPr>
        <xdr:cNvPr id="18" name="Rounded Rectangle 17">
          <a:extLst>
            <a:ext uri="{FF2B5EF4-FFF2-40B4-BE49-F238E27FC236}">
              <a16:creationId xmlns:a16="http://schemas.microsoft.com/office/drawing/2014/main" id="{6A52CA95-886C-F54C-80B6-C0064CF676CB}"/>
            </a:ext>
          </a:extLst>
        </xdr:cNvPr>
        <xdr:cNvSpPr/>
      </xdr:nvSpPr>
      <xdr:spPr>
        <a:xfrm>
          <a:off x="3007782" y="874535"/>
          <a:ext cx="3035018" cy="1005840"/>
        </a:xfrm>
        <a:prstGeom prst="roundRect">
          <a:avLst>
            <a:gd name="adj" fmla="val 6667"/>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  </a:t>
          </a:r>
          <a:r>
            <a:rPr lang="en-US" sz="2000" b="1"/>
            <a:t>Total profit</a:t>
          </a:r>
        </a:p>
      </xdr:txBody>
    </xdr:sp>
    <xdr:clientData/>
  </xdr:twoCellAnchor>
  <xdr:twoCellAnchor>
    <xdr:from>
      <xdr:col>7</xdr:col>
      <xdr:colOff>312206</xdr:colOff>
      <xdr:row>4</xdr:row>
      <xdr:rowOff>49034</xdr:rowOff>
    </xdr:from>
    <xdr:to>
      <xdr:col>11</xdr:col>
      <xdr:colOff>126999</xdr:colOff>
      <xdr:row>9</xdr:row>
      <xdr:rowOff>47624</xdr:rowOff>
    </xdr:to>
    <xdr:sp macro="" textlink="">
      <xdr:nvSpPr>
        <xdr:cNvPr id="19" name="Rounded Rectangle 18">
          <a:extLst>
            <a:ext uri="{FF2B5EF4-FFF2-40B4-BE49-F238E27FC236}">
              <a16:creationId xmlns:a16="http://schemas.microsoft.com/office/drawing/2014/main" id="{1F6914E5-34F5-8143-9371-B916CC27252E}"/>
            </a:ext>
          </a:extLst>
        </xdr:cNvPr>
        <xdr:cNvSpPr/>
      </xdr:nvSpPr>
      <xdr:spPr>
        <a:xfrm>
          <a:off x="6090706" y="874534"/>
          <a:ext cx="3116793" cy="1030465"/>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t>Total Liters Sold</a:t>
          </a:r>
        </a:p>
      </xdr:txBody>
    </xdr:sp>
    <xdr:clientData/>
  </xdr:twoCellAnchor>
  <xdr:twoCellAnchor>
    <xdr:from>
      <xdr:col>11</xdr:col>
      <xdr:colOff>174625</xdr:colOff>
      <xdr:row>4</xdr:row>
      <xdr:rowOff>49034</xdr:rowOff>
    </xdr:from>
    <xdr:to>
      <xdr:col>14</xdr:col>
      <xdr:colOff>783236</xdr:colOff>
      <xdr:row>9</xdr:row>
      <xdr:rowOff>47625</xdr:rowOff>
    </xdr:to>
    <xdr:sp macro="" textlink="">
      <xdr:nvSpPr>
        <xdr:cNvPr id="20" name="Rounded Rectangle 19">
          <a:extLst>
            <a:ext uri="{FF2B5EF4-FFF2-40B4-BE49-F238E27FC236}">
              <a16:creationId xmlns:a16="http://schemas.microsoft.com/office/drawing/2014/main" id="{12F276F1-7512-3B43-88A3-2C152A70881B}"/>
            </a:ext>
          </a:extLst>
        </xdr:cNvPr>
        <xdr:cNvSpPr/>
      </xdr:nvSpPr>
      <xdr:spPr>
        <a:xfrm>
          <a:off x="9255125" y="874534"/>
          <a:ext cx="3085111" cy="1030466"/>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t>Profit Margin</a:t>
          </a:r>
        </a:p>
      </xdr:txBody>
    </xdr:sp>
    <xdr:clientData/>
  </xdr:twoCellAnchor>
  <xdr:twoCellAnchor>
    <xdr:from>
      <xdr:col>0</xdr:col>
      <xdr:colOff>209550</xdr:colOff>
      <xdr:row>6</xdr:row>
      <xdr:rowOff>73025</xdr:rowOff>
    </xdr:from>
    <xdr:to>
      <xdr:col>3</xdr:col>
      <xdr:colOff>196850</xdr:colOff>
      <xdr:row>8</xdr:row>
      <xdr:rowOff>73025</xdr:rowOff>
    </xdr:to>
    <xdr:sp macro="" textlink="'Key cards'!A6">
      <xdr:nvSpPr>
        <xdr:cNvPr id="21" name="TextBox 20">
          <a:extLst>
            <a:ext uri="{FF2B5EF4-FFF2-40B4-BE49-F238E27FC236}">
              <a16:creationId xmlns:a16="http://schemas.microsoft.com/office/drawing/2014/main" id="{3DAC1CC4-4600-8887-BF7C-BB4B53421D27}"/>
            </a:ext>
          </a:extLst>
        </xdr:cNvPr>
        <xdr:cNvSpPr txBox="1"/>
      </xdr:nvSpPr>
      <xdr:spPr>
        <a:xfrm>
          <a:off x="209550" y="1311275"/>
          <a:ext cx="24638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A92AB651-E532-B945-A58A-24F19C7A6C68}" type="TxLink">
            <a:rPr lang="en-US" sz="1600" b="0" i="0" u="none" strike="noStrike">
              <a:ln>
                <a:solidFill>
                  <a:sysClr val="windowText" lastClr="000000"/>
                </a:solidFill>
              </a:ln>
              <a:solidFill>
                <a:schemeClr val="bg1"/>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GHS 3,875,218.60 </a:t>
          </a:fld>
          <a:endParaRPr lang="en-US" sz="1600">
            <a:ln>
              <a:solidFill>
                <a:sysClr val="windowText" lastClr="000000"/>
              </a:solidFill>
            </a:ln>
            <a:solidFill>
              <a:schemeClr val="bg1"/>
            </a:solidFill>
          </a:endParaRPr>
        </a:p>
      </xdr:txBody>
    </xdr:sp>
    <xdr:clientData/>
  </xdr:twoCellAnchor>
  <xdr:twoCellAnchor>
    <xdr:from>
      <xdr:col>4</xdr:col>
      <xdr:colOff>402166</xdr:colOff>
      <xdr:row>6</xdr:row>
      <xdr:rowOff>97367</xdr:rowOff>
    </xdr:from>
    <xdr:to>
      <xdr:col>6</xdr:col>
      <xdr:colOff>618066</xdr:colOff>
      <xdr:row>8</xdr:row>
      <xdr:rowOff>33867</xdr:rowOff>
    </xdr:to>
    <xdr:sp macro="" textlink="'Key cards'!B6">
      <xdr:nvSpPr>
        <xdr:cNvPr id="22" name="TextBox 21">
          <a:extLst>
            <a:ext uri="{FF2B5EF4-FFF2-40B4-BE49-F238E27FC236}">
              <a16:creationId xmlns:a16="http://schemas.microsoft.com/office/drawing/2014/main" id="{E7311625-D9AA-59EF-D54D-82343E4654A1}"/>
            </a:ext>
          </a:extLst>
        </xdr:cNvPr>
        <xdr:cNvSpPr txBox="1"/>
      </xdr:nvSpPr>
      <xdr:spPr>
        <a:xfrm>
          <a:off x="3704166" y="1367367"/>
          <a:ext cx="1866900"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8C12DD-930D-2745-9F1E-C8B380560DEF}" type="TxLink">
            <a:rPr lang="en-US" sz="1600" b="0" i="0" u="none" strike="noStrike">
              <a:ln>
                <a:solidFill>
                  <a:sysClr val="windowText" lastClr="000000"/>
                </a:solidFill>
              </a:ln>
              <a:solidFill>
                <a:schemeClr val="bg1"/>
              </a:solidFill>
              <a:latin typeface="Aptos Narrow"/>
            </a:rPr>
            <a:pPr algn="ctr"/>
            <a:t> GHS 658,353.60 </a:t>
          </a:fld>
          <a:endParaRPr lang="en-US" sz="1600">
            <a:ln>
              <a:solidFill>
                <a:sysClr val="windowText" lastClr="000000"/>
              </a:solidFill>
            </a:ln>
            <a:solidFill>
              <a:schemeClr val="bg1"/>
            </a:solidFill>
          </a:endParaRPr>
        </a:p>
      </xdr:txBody>
    </xdr:sp>
    <xdr:clientData/>
  </xdr:twoCellAnchor>
  <xdr:twoCellAnchor>
    <xdr:from>
      <xdr:col>8</xdr:col>
      <xdr:colOff>258234</xdr:colOff>
      <xdr:row>6</xdr:row>
      <xdr:rowOff>71967</xdr:rowOff>
    </xdr:from>
    <xdr:to>
      <xdr:col>10</xdr:col>
      <xdr:colOff>372534</xdr:colOff>
      <xdr:row>8</xdr:row>
      <xdr:rowOff>1</xdr:rowOff>
    </xdr:to>
    <xdr:sp macro="" textlink="'Key cards'!C6">
      <xdr:nvSpPr>
        <xdr:cNvPr id="24" name="TextBox 23">
          <a:extLst>
            <a:ext uri="{FF2B5EF4-FFF2-40B4-BE49-F238E27FC236}">
              <a16:creationId xmlns:a16="http://schemas.microsoft.com/office/drawing/2014/main" id="{6DE2CEC5-7EB8-BC47-8299-05B656A19491}"/>
            </a:ext>
          </a:extLst>
        </xdr:cNvPr>
        <xdr:cNvSpPr txBox="1"/>
      </xdr:nvSpPr>
      <xdr:spPr>
        <a:xfrm>
          <a:off x="6862234" y="1341967"/>
          <a:ext cx="1765300" cy="35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C7134E34-07AA-A945-BEF9-50DEBD3475D5}" type="TxLink">
            <a:rPr lang="en-US" sz="1800" b="0" i="0" u="none" strike="noStrike">
              <a:ln>
                <a:solidFill>
                  <a:sysClr val="windowText" lastClr="000000"/>
                </a:solidFill>
              </a:ln>
              <a:solidFill>
                <a:schemeClr val="bg1"/>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3,291,768 </a:t>
          </a:fld>
          <a:r>
            <a:rPr lang="en-US" sz="1800" b="0" i="0" u="none" strike="noStrike">
              <a:ln>
                <a:solidFill>
                  <a:sysClr val="windowText" lastClr="000000"/>
                </a:solidFill>
              </a:ln>
              <a:solidFill>
                <a:schemeClr val="bg1"/>
              </a:solidFill>
              <a:effectLst/>
              <a:latin typeface="Aptos Narrow"/>
              <a:ea typeface="+mn-ea"/>
              <a:cs typeface="+mn-cs"/>
            </a:rPr>
            <a:t> L</a:t>
          </a:r>
          <a:endParaRPr lang="en-US" sz="1800">
            <a:ln>
              <a:solidFill>
                <a:sysClr val="windowText" lastClr="000000"/>
              </a:solidFill>
            </a:ln>
            <a:solidFill>
              <a:schemeClr val="bg1"/>
            </a:solidFill>
          </a:endParaRPr>
        </a:p>
      </xdr:txBody>
    </xdr:sp>
    <xdr:clientData/>
  </xdr:twoCellAnchor>
  <xdr:twoCellAnchor>
    <xdr:from>
      <xdr:col>11</xdr:col>
      <xdr:colOff>808567</xdr:colOff>
      <xdr:row>6</xdr:row>
      <xdr:rowOff>93134</xdr:rowOff>
    </xdr:from>
    <xdr:to>
      <xdr:col>14</xdr:col>
      <xdr:colOff>275167</xdr:colOff>
      <xdr:row>8</xdr:row>
      <xdr:rowOff>21168</xdr:rowOff>
    </xdr:to>
    <xdr:sp macro="" textlink="'Key cards'!D6">
      <xdr:nvSpPr>
        <xdr:cNvPr id="25" name="TextBox 24">
          <a:extLst>
            <a:ext uri="{FF2B5EF4-FFF2-40B4-BE49-F238E27FC236}">
              <a16:creationId xmlns:a16="http://schemas.microsoft.com/office/drawing/2014/main" id="{B4351995-A740-1B48-B898-6807B7C4EDEB}"/>
            </a:ext>
          </a:extLst>
        </xdr:cNvPr>
        <xdr:cNvSpPr txBox="1"/>
      </xdr:nvSpPr>
      <xdr:spPr>
        <a:xfrm>
          <a:off x="9889067" y="1363134"/>
          <a:ext cx="1943100" cy="35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2EF158-AFC1-144F-8FC8-DE019C279FCF}" type="TxLink">
            <a:rPr lang="en-US" sz="1800" b="1" i="0" u="none" strike="noStrike">
              <a:ln>
                <a:noFill/>
              </a:ln>
              <a:solidFill>
                <a:sysClr val="windowText" lastClr="000000"/>
              </a:solidFill>
              <a:latin typeface="Aptos Narrow"/>
            </a:rPr>
            <a:pPr algn="ctr"/>
            <a:t>16.99%</a:t>
          </a:fld>
          <a:endParaRPr lang="en-US" sz="1800" b="1">
            <a:ln>
              <a:noFill/>
            </a:ln>
            <a:solidFill>
              <a:sysClr val="windowText" lastClr="000000"/>
            </a:solidFill>
          </a:endParaRPr>
        </a:p>
      </xdr:txBody>
    </xdr:sp>
    <xdr:clientData/>
  </xdr:twoCellAnchor>
  <xdr:twoCellAnchor>
    <xdr:from>
      <xdr:col>0</xdr:col>
      <xdr:colOff>0</xdr:colOff>
      <xdr:row>54</xdr:row>
      <xdr:rowOff>31750</xdr:rowOff>
    </xdr:from>
    <xdr:to>
      <xdr:col>14</xdr:col>
      <xdr:colOff>809625</xdr:colOff>
      <xdr:row>73</xdr:row>
      <xdr:rowOff>111125</xdr:rowOff>
    </xdr:to>
    <xdr:sp macro="" textlink="">
      <xdr:nvSpPr>
        <xdr:cNvPr id="28" name="TextBox 27">
          <a:extLst>
            <a:ext uri="{FF2B5EF4-FFF2-40B4-BE49-F238E27FC236}">
              <a16:creationId xmlns:a16="http://schemas.microsoft.com/office/drawing/2014/main" id="{F49247C5-83C2-6980-C650-76FE3EE68FD7}"/>
            </a:ext>
          </a:extLst>
        </xdr:cNvPr>
        <xdr:cNvSpPr txBox="1"/>
      </xdr:nvSpPr>
      <xdr:spPr>
        <a:xfrm>
          <a:off x="0" y="11064875"/>
          <a:ext cx="12366625" cy="40005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2000" b="1">
              <a:latin typeface="Times New Roman" panose="02020603050405020304" pitchFamily="18" charset="0"/>
              <a:cs typeface="Times New Roman" panose="02020603050405020304" pitchFamily="18" charset="0"/>
            </a:rPr>
            <a:t>Key Insights:</a:t>
          </a:r>
        </a:p>
        <a:p>
          <a:endParaRPr lang="en-US" sz="2000" b="1">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Petrol accounts for the largest share of fuel revenue at </a:t>
          </a:r>
          <a:r>
            <a:rPr lang="en-US" sz="2000" b="1">
              <a:latin typeface="Times New Roman" panose="02020603050405020304" pitchFamily="18" charset="0"/>
              <a:cs typeface="Times New Roman" panose="02020603050405020304" pitchFamily="18" charset="0"/>
            </a:rPr>
            <a:t>51%</a:t>
          </a:r>
          <a:r>
            <a:rPr lang="en-US" sz="2000">
              <a:latin typeface="Times New Roman" panose="02020603050405020304" pitchFamily="18" charset="0"/>
              <a:cs typeface="Times New Roman" panose="02020603050405020304" pitchFamily="18" charset="0"/>
            </a:rPr>
            <a:t>, followed by diesel at </a:t>
          </a:r>
          <a:r>
            <a:rPr lang="en-US" sz="2000" b="1">
              <a:latin typeface="Times New Roman" panose="02020603050405020304" pitchFamily="18" charset="0"/>
              <a:cs typeface="Times New Roman" panose="02020603050405020304" pitchFamily="18" charset="0"/>
            </a:rPr>
            <a:t>37%</a:t>
          </a:r>
          <a:r>
            <a:rPr lang="en-US" sz="2000">
              <a:latin typeface="Times New Roman" panose="02020603050405020304" pitchFamily="18" charset="0"/>
              <a:cs typeface="Times New Roman" panose="02020603050405020304" pitchFamily="18" charset="0"/>
            </a:rPr>
            <a:t>.</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The </a:t>
          </a:r>
          <a:r>
            <a:rPr lang="en-US" sz="2000" b="0">
              <a:latin typeface="Times New Roman" panose="02020603050405020304" pitchFamily="18" charset="0"/>
              <a:cs typeface="Times New Roman" panose="02020603050405020304" pitchFamily="18" charset="0"/>
            </a:rPr>
            <a:t>Central region generates the highest revenue</a:t>
          </a:r>
          <a:r>
            <a:rPr lang="en-US" sz="2000">
              <a:latin typeface="Times New Roman" panose="02020603050405020304" pitchFamily="18" charset="0"/>
              <a:cs typeface="Times New Roman" panose="02020603050405020304" pitchFamily="18" charset="0"/>
            </a:rPr>
            <a:t>, indicating stronger fuel demand compared to other regions.</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a:t>
          </a:r>
          <a:r>
            <a:rPr lang="en-US" sz="2000" b="0">
              <a:latin typeface="Times New Roman" panose="02020603050405020304" pitchFamily="18" charset="0"/>
              <a:cs typeface="Times New Roman" panose="02020603050405020304" pitchFamily="18" charset="0"/>
            </a:rPr>
            <a:t>Station 1 and Station 11 </a:t>
          </a:r>
          <a:r>
            <a:rPr lang="en-US" sz="2000">
              <a:latin typeface="Times New Roman" panose="02020603050405020304" pitchFamily="18" charset="0"/>
              <a:cs typeface="Times New Roman" panose="02020603050405020304" pitchFamily="18" charset="0"/>
            </a:rPr>
            <a:t>are the top-performing fuel stations by revenue.</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Diesel sales show relatively </a:t>
          </a:r>
          <a:r>
            <a:rPr lang="en-US" sz="2000" b="0">
              <a:latin typeface="Times New Roman" panose="02020603050405020304" pitchFamily="18" charset="0"/>
              <a:cs typeface="Times New Roman" panose="02020603050405020304" pitchFamily="18" charset="0"/>
            </a:rPr>
            <a:t>stable monthly demand</a:t>
          </a:r>
          <a:r>
            <a:rPr lang="en-US" sz="2000">
              <a:latin typeface="Times New Roman" panose="02020603050405020304" pitchFamily="18" charset="0"/>
              <a:cs typeface="Times New Roman" panose="02020603050405020304" pitchFamily="18" charset="0"/>
            </a:rPr>
            <a:t>, while LPG contributes the smallest revenue share.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28222</xdr:colOff>
      <xdr:row>0</xdr:row>
      <xdr:rowOff>42333</xdr:rowOff>
    </xdr:from>
    <xdr:to>
      <xdr:col>15</xdr:col>
      <xdr:colOff>0</xdr:colOff>
      <xdr:row>71</xdr:row>
      <xdr:rowOff>112889</xdr:rowOff>
    </xdr:to>
    <xdr:sp macro="" textlink="">
      <xdr:nvSpPr>
        <xdr:cNvPr id="2" name="Rectangle 1">
          <a:extLst>
            <a:ext uri="{FF2B5EF4-FFF2-40B4-BE49-F238E27FC236}">
              <a16:creationId xmlns:a16="http://schemas.microsoft.com/office/drawing/2014/main" id="{4F0E24C0-DA86-6A4B-A312-D951E29DCB82}"/>
            </a:ext>
          </a:extLst>
        </xdr:cNvPr>
        <xdr:cNvSpPr/>
      </xdr:nvSpPr>
      <xdr:spPr>
        <a:xfrm>
          <a:off x="28222" y="42333"/>
          <a:ext cx="12460111" cy="13984112"/>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40922</xdr:colOff>
      <xdr:row>4</xdr:row>
      <xdr:rowOff>22578</xdr:rowOff>
    </xdr:from>
    <xdr:to>
      <xdr:col>4</xdr:col>
      <xdr:colOff>825500</xdr:colOff>
      <xdr:row>9</xdr:row>
      <xdr:rowOff>40640</xdr:rowOff>
    </xdr:to>
    <xdr:sp macro="" textlink="">
      <xdr:nvSpPr>
        <xdr:cNvPr id="3" name="Rounded Rectangle 2">
          <a:extLst>
            <a:ext uri="{FF2B5EF4-FFF2-40B4-BE49-F238E27FC236}">
              <a16:creationId xmlns:a16="http://schemas.microsoft.com/office/drawing/2014/main" id="{19B4BA9C-8467-C746-B591-5522622AE250}"/>
            </a:ext>
          </a:extLst>
        </xdr:cNvPr>
        <xdr:cNvSpPr/>
      </xdr:nvSpPr>
      <xdr:spPr>
        <a:xfrm>
          <a:off x="40922" y="812800"/>
          <a:ext cx="4114800" cy="1005840"/>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solidFill>
                <a:sysClr val="windowText" lastClr="000000"/>
              </a:solidFill>
            </a:rPr>
            <a:t>Total</a:t>
          </a:r>
          <a:r>
            <a:rPr lang="en-US" sz="2000" b="1" baseline="0">
              <a:solidFill>
                <a:sysClr val="windowText" lastClr="000000"/>
              </a:solidFill>
            </a:rPr>
            <a:t> Delivery Volume</a:t>
          </a:r>
          <a:endParaRPr lang="en-US" sz="2000" b="1">
            <a:solidFill>
              <a:sysClr val="windowText" lastClr="000000"/>
            </a:solidFill>
          </a:endParaRPr>
        </a:p>
        <a:p>
          <a:pPr algn="ctr"/>
          <a:endParaRPr lang="en-US" sz="1800">
            <a:solidFill>
              <a:sysClr val="windowText" lastClr="000000"/>
            </a:solidFill>
          </a:endParaRPr>
        </a:p>
      </xdr:txBody>
    </xdr:sp>
    <xdr:clientData/>
  </xdr:twoCellAnchor>
  <xdr:twoCellAnchor editAs="oneCell">
    <xdr:from>
      <xdr:col>11</xdr:col>
      <xdr:colOff>5644</xdr:colOff>
      <xdr:row>26</xdr:row>
      <xdr:rowOff>98779</xdr:rowOff>
    </xdr:from>
    <xdr:to>
      <xdr:col>14</xdr:col>
      <xdr:colOff>790222</xdr:colOff>
      <xdr:row>53</xdr:row>
      <xdr:rowOff>183444</xdr:rowOff>
    </xdr:to>
    <mc:AlternateContent xmlns:mc="http://schemas.openxmlformats.org/markup-compatibility/2006" xmlns:a14="http://schemas.microsoft.com/office/drawing/2010/main">
      <mc:Choice Requires="a14">
        <xdr:graphicFrame macro="">
          <xdr:nvGraphicFramePr>
            <xdr:cNvPr id="8" name="Station 1">
              <a:extLst>
                <a:ext uri="{FF2B5EF4-FFF2-40B4-BE49-F238E27FC236}">
                  <a16:creationId xmlns:a16="http://schemas.microsoft.com/office/drawing/2014/main" id="{07489DC7-0158-6A44-9996-195E62E1E263}"/>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9163755" y="5122335"/>
              <a:ext cx="3282245" cy="5418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10</xdr:row>
      <xdr:rowOff>0</xdr:rowOff>
    </xdr:from>
    <xdr:to>
      <xdr:col>14</xdr:col>
      <xdr:colOff>804333</xdr:colOff>
      <xdr:row>19</xdr:row>
      <xdr:rowOff>56443</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E9D8BC7C-86EB-804A-B987-77350C6148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70811" y="1862667"/>
              <a:ext cx="3289300" cy="1834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831144</xdr:colOff>
      <xdr:row>19</xdr:row>
      <xdr:rowOff>71966</xdr:rowOff>
    </xdr:from>
    <xdr:to>
      <xdr:col>14</xdr:col>
      <xdr:colOff>804333</xdr:colOff>
      <xdr:row>26</xdr:row>
      <xdr:rowOff>71966</xdr:rowOff>
    </xdr:to>
    <mc:AlternateContent xmlns:mc="http://schemas.openxmlformats.org/markup-compatibility/2006" xmlns:a14="http://schemas.microsoft.com/office/drawing/2010/main">
      <mc:Choice Requires="a14">
        <xdr:graphicFrame macro="">
          <xdr:nvGraphicFramePr>
            <xdr:cNvPr id="10" name="Fuel_Type 1">
              <a:extLst>
                <a:ext uri="{FF2B5EF4-FFF2-40B4-BE49-F238E27FC236}">
                  <a16:creationId xmlns:a16="http://schemas.microsoft.com/office/drawing/2014/main" id="{068454B0-E81C-EF42-87ED-A2EA1CF86BA1}"/>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9156700" y="3712633"/>
              <a:ext cx="3303411" cy="1382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50799</xdr:colOff>
      <xdr:row>0</xdr:row>
      <xdr:rowOff>42333</xdr:rowOff>
    </xdr:from>
    <xdr:to>
      <xdr:col>14</xdr:col>
      <xdr:colOff>790222</xdr:colOff>
      <xdr:row>4</xdr:row>
      <xdr:rowOff>0</xdr:rowOff>
    </xdr:to>
    <xdr:sp macro="" textlink="">
      <xdr:nvSpPr>
        <xdr:cNvPr id="11" name="Rounded Rectangle 10">
          <a:extLst>
            <a:ext uri="{FF2B5EF4-FFF2-40B4-BE49-F238E27FC236}">
              <a16:creationId xmlns:a16="http://schemas.microsoft.com/office/drawing/2014/main" id="{4F41F828-FC6E-374C-B098-578EF53A09C3}"/>
            </a:ext>
          </a:extLst>
        </xdr:cNvPr>
        <xdr:cNvSpPr/>
      </xdr:nvSpPr>
      <xdr:spPr>
        <a:xfrm>
          <a:off x="50799" y="42333"/>
          <a:ext cx="12296423" cy="770467"/>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LOGISTICS</a:t>
          </a:r>
          <a:r>
            <a:rPr lang="en-US" sz="3600" b="1" baseline="0"/>
            <a:t> &amp; OPERATIONS</a:t>
          </a:r>
          <a:r>
            <a:rPr lang="en-US" sz="3600" b="1"/>
            <a:t> PERFORMANCE</a:t>
          </a:r>
          <a:r>
            <a:rPr lang="en-US" sz="3600" b="1" baseline="0"/>
            <a:t> DASHBOARD</a:t>
          </a:r>
          <a:endParaRPr lang="en-US" sz="3600" b="1"/>
        </a:p>
      </xdr:txBody>
    </xdr:sp>
    <xdr:clientData/>
  </xdr:twoCellAnchor>
  <xdr:twoCellAnchor>
    <xdr:from>
      <xdr:col>5</xdr:col>
      <xdr:colOff>33864</xdr:colOff>
      <xdr:row>4</xdr:row>
      <xdr:rowOff>22577</xdr:rowOff>
    </xdr:from>
    <xdr:to>
      <xdr:col>9</xdr:col>
      <xdr:colOff>818442</xdr:colOff>
      <xdr:row>9</xdr:row>
      <xdr:rowOff>40639</xdr:rowOff>
    </xdr:to>
    <xdr:sp macro="" textlink="">
      <xdr:nvSpPr>
        <xdr:cNvPr id="12" name="Rounded Rectangle 11">
          <a:extLst>
            <a:ext uri="{FF2B5EF4-FFF2-40B4-BE49-F238E27FC236}">
              <a16:creationId xmlns:a16="http://schemas.microsoft.com/office/drawing/2014/main" id="{8AE260EB-CDDF-264B-B4DF-79F928294CFD}"/>
            </a:ext>
          </a:extLst>
        </xdr:cNvPr>
        <xdr:cNvSpPr/>
      </xdr:nvSpPr>
      <xdr:spPr>
        <a:xfrm>
          <a:off x="4196642" y="812799"/>
          <a:ext cx="4114800" cy="1005840"/>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  </a:t>
          </a:r>
          <a:r>
            <a:rPr lang="en-US" sz="2000" b="1">
              <a:solidFill>
                <a:sysClr val="windowText" lastClr="000000"/>
              </a:solidFill>
            </a:rPr>
            <a:t>Total</a:t>
          </a:r>
          <a:r>
            <a:rPr lang="en-US" sz="2000" b="1"/>
            <a:t> </a:t>
          </a:r>
          <a:r>
            <a:rPr lang="en-US" sz="2000" b="1">
              <a:solidFill>
                <a:sysClr val="windowText" lastClr="000000"/>
              </a:solidFill>
            </a:rPr>
            <a:t>Delivery</a:t>
          </a:r>
          <a:r>
            <a:rPr lang="en-US" sz="2000" b="1" baseline="0"/>
            <a:t> </a:t>
          </a:r>
          <a:r>
            <a:rPr lang="en-US" sz="2000" b="1" baseline="0">
              <a:solidFill>
                <a:sysClr val="windowText" lastClr="000000"/>
              </a:solidFill>
            </a:rPr>
            <a:t>Cost</a:t>
          </a:r>
          <a:endParaRPr lang="en-US" sz="2000" b="1">
            <a:solidFill>
              <a:sysClr val="windowText" lastClr="000000"/>
            </a:solidFill>
          </a:endParaRPr>
        </a:p>
      </xdr:txBody>
    </xdr:sp>
    <xdr:clientData/>
  </xdr:twoCellAnchor>
  <xdr:twoCellAnchor>
    <xdr:from>
      <xdr:col>10</xdr:col>
      <xdr:colOff>14110</xdr:colOff>
      <xdr:row>4</xdr:row>
      <xdr:rowOff>22578</xdr:rowOff>
    </xdr:from>
    <xdr:to>
      <xdr:col>14</xdr:col>
      <xdr:colOff>798688</xdr:colOff>
      <xdr:row>9</xdr:row>
      <xdr:rowOff>40640</xdr:rowOff>
    </xdr:to>
    <xdr:sp macro="" textlink="">
      <xdr:nvSpPr>
        <xdr:cNvPr id="13" name="Rounded Rectangle 12">
          <a:extLst>
            <a:ext uri="{FF2B5EF4-FFF2-40B4-BE49-F238E27FC236}">
              <a16:creationId xmlns:a16="http://schemas.microsoft.com/office/drawing/2014/main" id="{DA7D831F-134B-6F43-81BA-D6CD0B1CE053}"/>
            </a:ext>
          </a:extLst>
        </xdr:cNvPr>
        <xdr:cNvSpPr/>
      </xdr:nvSpPr>
      <xdr:spPr>
        <a:xfrm>
          <a:off x="8339666" y="812800"/>
          <a:ext cx="4114800" cy="1005840"/>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solidFill>
                <a:sysClr val="windowText" lastClr="000000"/>
              </a:solidFill>
            </a:rPr>
            <a:t>Delivery</a:t>
          </a:r>
          <a:r>
            <a:rPr lang="en-US" sz="2000" b="1" baseline="0"/>
            <a:t> </a:t>
          </a:r>
          <a:r>
            <a:rPr lang="en-US" sz="2000" b="1" baseline="0">
              <a:solidFill>
                <a:sysClr val="windowText" lastClr="000000"/>
              </a:solidFill>
            </a:rPr>
            <a:t>Efficiency</a:t>
          </a:r>
          <a:endParaRPr lang="en-US" sz="2000" b="1">
            <a:solidFill>
              <a:sysClr val="windowText" lastClr="000000"/>
            </a:solidFill>
          </a:endParaRPr>
        </a:p>
      </xdr:txBody>
    </xdr:sp>
    <xdr:clientData/>
  </xdr:twoCellAnchor>
  <xdr:twoCellAnchor>
    <xdr:from>
      <xdr:col>0</xdr:col>
      <xdr:colOff>587022</xdr:colOff>
      <xdr:row>6</xdr:row>
      <xdr:rowOff>74789</xdr:rowOff>
    </xdr:from>
    <xdr:to>
      <xdr:col>3</xdr:col>
      <xdr:colOff>574322</xdr:colOff>
      <xdr:row>8</xdr:row>
      <xdr:rowOff>74789</xdr:rowOff>
    </xdr:to>
    <xdr:sp macro="" textlink="'Pivot for logistics'!A6">
      <xdr:nvSpPr>
        <xdr:cNvPr id="15" name="TextBox 14">
          <a:extLst>
            <a:ext uri="{FF2B5EF4-FFF2-40B4-BE49-F238E27FC236}">
              <a16:creationId xmlns:a16="http://schemas.microsoft.com/office/drawing/2014/main" id="{9F57E001-C885-014F-98F7-DA6C88E3F0D4}"/>
            </a:ext>
          </a:extLst>
        </xdr:cNvPr>
        <xdr:cNvSpPr txBox="1"/>
      </xdr:nvSpPr>
      <xdr:spPr>
        <a:xfrm>
          <a:off x="587022" y="1260122"/>
          <a:ext cx="2484967"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B45023C1-2FF2-6147-B316-AD679D4CB488}" type="TxLink">
            <a:rPr lang="en-US" sz="2000" b="0" i="0" u="none" strike="noStrike">
              <a:solidFill>
                <a:sysClr val="windowText" lastClr="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3,291,768 </a:t>
          </a:fld>
          <a:r>
            <a:rPr lang="en-US" sz="2000" b="0" i="0" u="none" strike="noStrike">
              <a:solidFill>
                <a:sysClr val="windowText" lastClr="000000"/>
              </a:solidFill>
              <a:effectLst/>
              <a:latin typeface="Aptos Narrow"/>
              <a:ea typeface="+mn-ea"/>
              <a:cs typeface="+mn-cs"/>
            </a:rPr>
            <a:t> L</a:t>
          </a:r>
          <a:endParaRPr lang="en-US" sz="2000">
            <a:solidFill>
              <a:sysClr val="windowText" lastClr="000000"/>
            </a:solidFill>
          </a:endParaRPr>
        </a:p>
      </xdr:txBody>
    </xdr:sp>
    <xdr:clientData/>
  </xdr:twoCellAnchor>
  <xdr:twoCellAnchor>
    <xdr:from>
      <xdr:col>6</xdr:col>
      <xdr:colOff>289275</xdr:colOff>
      <xdr:row>6</xdr:row>
      <xdr:rowOff>55033</xdr:rowOff>
    </xdr:from>
    <xdr:to>
      <xdr:col>8</xdr:col>
      <xdr:colOff>505175</xdr:colOff>
      <xdr:row>7</xdr:row>
      <xdr:rowOff>189088</xdr:rowOff>
    </xdr:to>
    <xdr:sp macro="" textlink="'Pivot for logistics'!B6">
      <xdr:nvSpPr>
        <xdr:cNvPr id="16" name="TextBox 15">
          <a:extLst>
            <a:ext uri="{FF2B5EF4-FFF2-40B4-BE49-F238E27FC236}">
              <a16:creationId xmlns:a16="http://schemas.microsoft.com/office/drawing/2014/main" id="{D60BA293-46DF-314E-BC59-173C6BEFCA57}"/>
            </a:ext>
          </a:extLst>
        </xdr:cNvPr>
        <xdr:cNvSpPr txBox="1"/>
      </xdr:nvSpPr>
      <xdr:spPr>
        <a:xfrm>
          <a:off x="5284608" y="1240366"/>
          <a:ext cx="1881011" cy="33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121E0C-1D50-4640-8A2F-AF7A1B13A66F}" type="TxLink">
            <a:rPr lang="en-US" sz="2000" b="0" i="0" u="none" strike="noStrike">
              <a:solidFill>
                <a:sysClr val="windowText" lastClr="000000"/>
              </a:solidFill>
              <a:latin typeface="Aptos Narrow"/>
            </a:rPr>
            <a:pPr algn="ctr"/>
            <a:t>GHS 164,588.40</a:t>
          </a:fld>
          <a:endParaRPr lang="en-US" sz="2000">
            <a:solidFill>
              <a:sysClr val="windowText" lastClr="000000"/>
            </a:solidFill>
          </a:endParaRPr>
        </a:p>
      </xdr:txBody>
    </xdr:sp>
    <xdr:clientData/>
  </xdr:twoCellAnchor>
  <xdr:twoCellAnchor>
    <xdr:from>
      <xdr:col>11</xdr:col>
      <xdr:colOff>258234</xdr:colOff>
      <xdr:row>6</xdr:row>
      <xdr:rowOff>29633</xdr:rowOff>
    </xdr:from>
    <xdr:to>
      <xdr:col>13</xdr:col>
      <xdr:colOff>372535</xdr:colOff>
      <xdr:row>7</xdr:row>
      <xdr:rowOff>155222</xdr:rowOff>
    </xdr:to>
    <xdr:sp macro="" textlink="'Pivot for logistics'!C6">
      <xdr:nvSpPr>
        <xdr:cNvPr id="17" name="TextBox 16">
          <a:extLst>
            <a:ext uri="{FF2B5EF4-FFF2-40B4-BE49-F238E27FC236}">
              <a16:creationId xmlns:a16="http://schemas.microsoft.com/office/drawing/2014/main" id="{AE8A4FED-8AC3-3A49-8336-0678D6F4310E}"/>
            </a:ext>
          </a:extLst>
        </xdr:cNvPr>
        <xdr:cNvSpPr txBox="1"/>
      </xdr:nvSpPr>
      <xdr:spPr>
        <a:xfrm>
          <a:off x="9416345" y="1214966"/>
          <a:ext cx="1779412" cy="32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FCB76466-3AE9-F64F-B466-A9B530E5B257}" type="TxLink">
            <a:rPr lang="en-US" sz="2000" b="0" i="0" u="none" strike="noStrike">
              <a:solidFill>
                <a:sysClr val="windowText" lastClr="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4.30%</a:t>
          </a:fld>
          <a:endParaRPr lang="en-US" sz="2000">
            <a:solidFill>
              <a:sysClr val="windowText" lastClr="000000"/>
            </a:solidFill>
          </a:endParaRPr>
        </a:p>
      </xdr:txBody>
    </xdr:sp>
    <xdr:clientData/>
  </xdr:twoCellAnchor>
  <xdr:twoCellAnchor>
    <xdr:from>
      <xdr:col>0</xdr:col>
      <xdr:colOff>28222</xdr:colOff>
      <xdr:row>54</xdr:row>
      <xdr:rowOff>22929</xdr:rowOff>
    </xdr:from>
    <xdr:to>
      <xdr:col>14</xdr:col>
      <xdr:colOff>770819</xdr:colOff>
      <xdr:row>71</xdr:row>
      <xdr:rowOff>42332</xdr:rowOff>
    </xdr:to>
    <xdr:sp macro="" textlink="">
      <xdr:nvSpPr>
        <xdr:cNvPr id="19" name="TextBox 18">
          <a:extLst>
            <a:ext uri="{FF2B5EF4-FFF2-40B4-BE49-F238E27FC236}">
              <a16:creationId xmlns:a16="http://schemas.microsoft.com/office/drawing/2014/main" id="{C5813493-8520-2F45-AE49-85E59916807A}"/>
            </a:ext>
          </a:extLst>
        </xdr:cNvPr>
        <xdr:cNvSpPr txBox="1"/>
      </xdr:nvSpPr>
      <xdr:spPr>
        <a:xfrm>
          <a:off x="28222" y="10578040"/>
          <a:ext cx="12398375" cy="3377848"/>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2000" b="1">
              <a:latin typeface="Times New Roman" panose="02020603050405020304" pitchFamily="18" charset="0"/>
              <a:cs typeface="Times New Roman" panose="02020603050405020304" pitchFamily="18" charset="0"/>
            </a:rPr>
            <a:t>Key Insights:</a:t>
          </a:r>
        </a:p>
        <a:p>
          <a:endParaRPr lang="en-US" sz="2000" b="1">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Petrol contributes the </a:t>
          </a:r>
          <a:r>
            <a:rPr lang="en-US" sz="2000" b="0">
              <a:latin typeface="Times New Roman" panose="02020603050405020304" pitchFamily="18" charset="0"/>
              <a:cs typeface="Times New Roman" panose="02020603050405020304" pitchFamily="18" charset="0"/>
            </a:rPr>
            <a:t>highest delivery cost</a:t>
          </a:r>
          <a:r>
            <a:rPr lang="en-US" sz="2000">
              <a:latin typeface="Times New Roman" panose="02020603050405020304" pitchFamily="18" charset="0"/>
              <a:cs typeface="Times New Roman" panose="02020603050405020304" pitchFamily="18" charset="0"/>
            </a:rPr>
            <a:t>, indicating it dominates logistics operations.</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Eastern and Greater Accra regions show </a:t>
          </a:r>
          <a:r>
            <a:rPr lang="en-US" sz="2000" b="0">
              <a:latin typeface="Times New Roman" panose="02020603050405020304" pitchFamily="18" charset="0"/>
              <a:cs typeface="Times New Roman" panose="02020603050405020304" pitchFamily="18" charset="0"/>
            </a:rPr>
            <a:t>higher delivery volumes</a:t>
          </a:r>
          <a:r>
            <a:rPr lang="en-US" sz="2000">
              <a:latin typeface="Times New Roman" panose="02020603050405020304" pitchFamily="18" charset="0"/>
              <a:cs typeface="Times New Roman" panose="02020603050405020304" pitchFamily="18" charset="0"/>
            </a:rPr>
            <a:t>, suggesting strong demand concentration.</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Delivery efficiency (~4.3%) indicates </a:t>
          </a:r>
          <a:r>
            <a:rPr lang="en-US" sz="2000" b="0">
              <a:latin typeface="Times New Roman" panose="02020603050405020304" pitchFamily="18" charset="0"/>
              <a:cs typeface="Times New Roman" panose="02020603050405020304" pitchFamily="18" charset="0"/>
            </a:rPr>
            <a:t>relatively low logistics cost compared to revenue</a:t>
          </a:r>
          <a:r>
            <a:rPr lang="en-US" sz="2000">
              <a:latin typeface="Times New Roman" panose="02020603050405020304" pitchFamily="18" charset="0"/>
              <a:cs typeface="Times New Roman" panose="02020603050405020304" pitchFamily="18" charset="0"/>
            </a:rPr>
            <a:t>, which is positive.</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a:t>
          </a:r>
          <a:r>
            <a:rPr lang="en-US" sz="2000" baseline="0">
              <a:latin typeface="Times New Roman" panose="02020603050405020304" pitchFamily="18" charset="0"/>
              <a:cs typeface="Times New Roman" panose="02020603050405020304" pitchFamily="18" charset="0"/>
            </a:rPr>
            <a:t> </a:t>
          </a:r>
          <a:r>
            <a:rPr lang="en-US" sz="2000">
              <a:latin typeface="Times New Roman" panose="02020603050405020304" pitchFamily="18" charset="0"/>
              <a:cs typeface="Times New Roman" panose="02020603050405020304" pitchFamily="18" charset="0"/>
            </a:rPr>
            <a:t>Top-performing stations (e.g., Station 1 &amp; Station 11) handle a </a:t>
          </a:r>
          <a:r>
            <a:rPr lang="en-US" sz="2000" b="0">
              <a:latin typeface="Times New Roman" panose="02020603050405020304" pitchFamily="18" charset="0"/>
              <a:cs typeface="Times New Roman" panose="02020603050405020304" pitchFamily="18" charset="0"/>
            </a:rPr>
            <a:t>significant share of fuel distribution</a:t>
          </a:r>
          <a:r>
            <a:rPr lang="en-US" sz="2000">
              <a:latin typeface="Times New Roman" panose="02020603050405020304" pitchFamily="18" charset="0"/>
              <a:cs typeface="Times New Roman" panose="02020603050405020304" pitchFamily="18" charset="0"/>
            </a:rPr>
            <a:t>.</a:t>
          </a:r>
        </a:p>
        <a:p>
          <a:endParaRPr lang="en-US" sz="2000">
            <a:latin typeface="Times New Roman" panose="02020603050405020304" pitchFamily="18" charset="0"/>
            <a:cs typeface="Times New Roman" panose="02020603050405020304" pitchFamily="18" charset="0"/>
          </a:endParaRPr>
        </a:p>
        <a:p>
          <a:r>
            <a:rPr lang="en-US" sz="2000">
              <a:latin typeface="Times New Roman" panose="02020603050405020304" pitchFamily="18" charset="0"/>
              <a:cs typeface="Times New Roman" panose="02020603050405020304" pitchFamily="18" charset="0"/>
            </a:rPr>
            <a:t>• Monthly delivery trend shows </a:t>
          </a:r>
          <a:r>
            <a:rPr lang="en-US" sz="2000" b="0">
              <a:latin typeface="Times New Roman" panose="02020603050405020304" pitchFamily="18" charset="0"/>
              <a:cs typeface="Times New Roman" panose="02020603050405020304" pitchFamily="18" charset="0"/>
            </a:rPr>
            <a:t>fluctuations with peaks around mid-year</a:t>
          </a:r>
          <a:r>
            <a:rPr lang="en-US" sz="2000">
              <a:latin typeface="Times New Roman" panose="02020603050405020304" pitchFamily="18" charset="0"/>
              <a:cs typeface="Times New Roman" panose="02020603050405020304" pitchFamily="18" charset="0"/>
            </a:rPr>
            <a:t>, indicating possible seasonal demand patterns</a:t>
          </a:r>
          <a:r>
            <a:rPr lang="en-US" sz="2000"/>
            <a:t>.</a:t>
          </a:r>
          <a:endParaRPr lang="en-US" sz="2000">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64911</xdr:colOff>
      <xdr:row>23</xdr:row>
      <xdr:rowOff>184855</xdr:rowOff>
    </xdr:from>
    <xdr:to>
      <xdr:col>5</xdr:col>
      <xdr:colOff>291253</xdr:colOff>
      <xdr:row>39</xdr:row>
      <xdr:rowOff>53623</xdr:rowOff>
    </xdr:to>
    <xdr:graphicFrame macro="">
      <xdr:nvGraphicFramePr>
        <xdr:cNvPr id="20" name="Chart 19">
          <a:extLst>
            <a:ext uri="{FF2B5EF4-FFF2-40B4-BE49-F238E27FC236}">
              <a16:creationId xmlns:a16="http://schemas.microsoft.com/office/drawing/2014/main" id="{2FA40554-07DE-F648-A2F8-FD721D73F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369711</xdr:colOff>
      <xdr:row>23</xdr:row>
      <xdr:rowOff>179210</xdr:rowOff>
    </xdr:from>
    <xdr:to>
      <xdr:col>10</xdr:col>
      <xdr:colOff>776111</xdr:colOff>
      <xdr:row>39</xdr:row>
      <xdr:rowOff>70555</xdr:rowOff>
    </xdr:to>
    <xdr:graphicFrame macro="">
      <xdr:nvGraphicFramePr>
        <xdr:cNvPr id="21" name="Chart 20">
          <a:extLst>
            <a:ext uri="{FF2B5EF4-FFF2-40B4-BE49-F238E27FC236}">
              <a16:creationId xmlns:a16="http://schemas.microsoft.com/office/drawing/2014/main" id="{0CDDAB4F-B48B-B54A-8179-ABDD9E11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64911</xdr:colOff>
      <xdr:row>9</xdr:row>
      <xdr:rowOff>77611</xdr:rowOff>
    </xdr:from>
    <xdr:to>
      <xdr:col>10</xdr:col>
      <xdr:colOff>776111</xdr:colOff>
      <xdr:row>23</xdr:row>
      <xdr:rowOff>141111</xdr:rowOff>
    </xdr:to>
    <xdr:graphicFrame macro="">
      <xdr:nvGraphicFramePr>
        <xdr:cNvPr id="22" name="Chart 21">
          <a:extLst>
            <a:ext uri="{FF2B5EF4-FFF2-40B4-BE49-F238E27FC236}">
              <a16:creationId xmlns:a16="http://schemas.microsoft.com/office/drawing/2014/main" id="{33C735CA-9C18-0445-985B-92F814B9C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55034</xdr:colOff>
      <xdr:row>39</xdr:row>
      <xdr:rowOff>110065</xdr:rowOff>
    </xdr:from>
    <xdr:to>
      <xdr:col>10</xdr:col>
      <xdr:colOff>776112</xdr:colOff>
      <xdr:row>53</xdr:row>
      <xdr:rowOff>169333</xdr:rowOff>
    </xdr:to>
    <xdr:graphicFrame macro="">
      <xdr:nvGraphicFramePr>
        <xdr:cNvPr id="23" name="Chart 22">
          <a:extLst>
            <a:ext uri="{FF2B5EF4-FFF2-40B4-BE49-F238E27FC236}">
              <a16:creationId xmlns:a16="http://schemas.microsoft.com/office/drawing/2014/main" id="{BFD26F6A-5A36-BF4A-A38D-E676DE742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ietta Mensah" refreshedDate="46109.073660300928" createdVersion="8" refreshedVersion="8" minRefreshableVersion="3" recordCount="1000" xr:uid="{929B64D2-DC28-844D-A220-43FAE0C9A7DE}">
  <cacheSource type="worksheet">
    <worksheetSource name="Table1"/>
  </cacheSource>
  <cacheFields count="15">
    <cacheField name="Date" numFmtId="14">
      <sharedItems containsSemiMixedTypes="0" containsNonDate="0" containsDate="1" containsString="0" minDate="2024-01-01T00:00:00" maxDate="2025-01-01T00:00:00"/>
    </cacheField>
    <cacheField name="Station" numFmtId="0">
      <sharedItems count="15">
        <s v="Station 15"/>
        <s v="Station 4"/>
        <s v="Station 13"/>
        <s v="Station 11"/>
        <s v="Station 3"/>
        <s v="Station 1"/>
        <s v="Station 6"/>
        <s v="Station 2"/>
        <s v="Station 8"/>
        <s v="Station 10"/>
        <s v="Station 5"/>
        <s v="Station 7"/>
        <s v="Station 12"/>
        <s v="Station 9"/>
        <s v="Station 14"/>
      </sharedItems>
    </cacheField>
    <cacheField name="Region" numFmtId="0">
      <sharedItems count="5">
        <s v="Central"/>
        <s v="Western"/>
        <s v="Eastern"/>
        <s v="Greater Accra"/>
        <s v="Ashanti"/>
      </sharedItems>
    </cacheField>
    <cacheField name="Fuel_Type" numFmtId="0">
      <sharedItems count="3">
        <s v="Petrol"/>
        <s v="LPG"/>
        <s v="Diesel"/>
      </sharedItems>
    </cacheField>
    <cacheField name="Liters_Sold" numFmtId="0">
      <sharedItems containsSemiMixedTypes="0" containsString="0" containsNumber="1" containsInteger="1" minValue="502" maxValue="5999"/>
    </cacheField>
    <cacheField name="Price_per_Liter" numFmtId="0">
      <sharedItems containsSemiMixedTypes="0" containsString="0" containsNumber="1" minValue="0.9" maxValue="1.25"/>
    </cacheField>
    <cacheField name="Cost_per_Liter" numFmtId="0">
      <sharedItems containsSemiMixedTypes="0" containsString="0" containsNumber="1" minValue="0.7" maxValue="1.05"/>
    </cacheField>
    <cacheField name="Revenue" numFmtId="0">
      <sharedItems containsSemiMixedTypes="0" containsString="0" containsNumber="1" minValue="494.1" maxValue="7485"/>
    </cacheField>
    <cacheField name="Cost" numFmtId="0">
      <sharedItems containsSemiMixedTypes="0" containsString="0" containsNumber="1" minValue="384.29999999999899" maxValue="6287.4"/>
    </cacheField>
    <cacheField name="Profit" numFmtId="0">
      <sharedItems containsSemiMixedTypes="0" containsString="0" containsNumber="1" minValue="100.399999999999" maxValue="1199.8"/>
    </cacheField>
    <cacheField name="Delivery volume" numFmtId="0">
      <sharedItems containsSemiMixedTypes="0" containsString="0" containsNumber="1" containsInteger="1" minValue="502" maxValue="5999"/>
    </cacheField>
    <cacheField name="Delivery Cost" numFmtId="0">
      <sharedItems containsSemiMixedTypes="0" containsString="0" containsNumber="1" minValue="25.1" maxValue="299.95"/>
    </cacheField>
    <cacheField name="Delivery Efficiency" numFmtId="2">
      <sharedItems containsSemiMixedTypes="0" containsString="0" containsNumber="1" minValue="0.04" maxValue="5.5555555555555566E-2"/>
    </cacheField>
    <cacheField name="Month" numFmtId="0">
      <sharedItems count="12">
        <s v="Apr"/>
        <s v="Dec"/>
        <s v="Sep"/>
        <s v="Mar"/>
        <s v="Jul"/>
        <s v="Jan"/>
        <s v="May"/>
        <s v="Aug"/>
        <s v="Nov"/>
        <s v="Oct"/>
        <s v="Jun"/>
        <s v="Feb"/>
      </sharedItems>
    </cacheField>
    <cacheField name="Profit Margin" numFmtId="0" formula="Profit/Revenue" databaseField="0"/>
  </cacheFields>
  <extLst>
    <ext xmlns:x14="http://schemas.microsoft.com/office/spreadsheetml/2009/9/main" uri="{725AE2AE-9491-48be-B2B4-4EB974FC3084}">
      <x14:pivotCacheDefinition pivotCacheId="998637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4-04-12T00:00:00"/>
    <x v="0"/>
    <x v="0"/>
    <x v="0"/>
    <n v="3116"/>
    <n v="1.25"/>
    <n v="1.05"/>
    <n v="3895"/>
    <n v="3271.8"/>
    <n v="623.19999999999902"/>
    <n v="3116"/>
    <n v="155.80000000000001"/>
    <n v="0.04"/>
    <x v="0"/>
  </r>
  <r>
    <d v="2024-12-14T00:00:00"/>
    <x v="1"/>
    <x v="0"/>
    <x v="1"/>
    <n v="1387"/>
    <n v="0.9"/>
    <n v="0.7"/>
    <n v="1248.3"/>
    <n v="970.9"/>
    <n v="277.39999999999998"/>
    <n v="1387"/>
    <n v="69.350000000000009"/>
    <n v="5.5555555555555566E-2"/>
    <x v="1"/>
  </r>
  <r>
    <d v="2024-09-27T00:00:00"/>
    <x v="2"/>
    <x v="0"/>
    <x v="0"/>
    <n v="3604"/>
    <n v="1.25"/>
    <n v="1.05"/>
    <n v="4505"/>
    <n v="3784.2"/>
    <n v="720.79999999999905"/>
    <n v="3604"/>
    <n v="180.20000000000002"/>
    <n v="0.04"/>
    <x v="2"/>
  </r>
  <r>
    <d v="2024-04-16T00:00:00"/>
    <x v="3"/>
    <x v="1"/>
    <x v="2"/>
    <n v="5937"/>
    <n v="1.2"/>
    <n v="1"/>
    <n v="7124.4"/>
    <n v="5937"/>
    <n v="1187.3999999999901"/>
    <n v="5937"/>
    <n v="296.85000000000002"/>
    <n v="4.1666666666666671E-2"/>
    <x v="0"/>
  </r>
  <r>
    <d v="2024-03-12T00:00:00"/>
    <x v="4"/>
    <x v="2"/>
    <x v="1"/>
    <n v="549"/>
    <n v="0.9"/>
    <n v="0.7"/>
    <n v="494.1"/>
    <n v="384.29999999999899"/>
    <n v="109.8"/>
    <n v="549"/>
    <n v="27.450000000000003"/>
    <n v="5.5555555555555559E-2"/>
    <x v="3"/>
  </r>
  <r>
    <d v="2024-07-07T00:00:00"/>
    <x v="5"/>
    <x v="1"/>
    <x v="2"/>
    <n v="4451"/>
    <n v="1.2"/>
    <n v="1"/>
    <n v="5341.2"/>
    <n v="4451"/>
    <n v="890.19999999999902"/>
    <n v="4451"/>
    <n v="222.55"/>
    <n v="4.1666666666666671E-2"/>
    <x v="4"/>
  </r>
  <r>
    <d v="2024-01-21T00:00:00"/>
    <x v="6"/>
    <x v="3"/>
    <x v="1"/>
    <n v="4060"/>
    <n v="0.9"/>
    <n v="0.7"/>
    <n v="3654"/>
    <n v="2842"/>
    <n v="812"/>
    <n v="4060"/>
    <n v="203"/>
    <n v="5.5555555555555552E-2"/>
    <x v="5"/>
  </r>
  <r>
    <d v="2024-04-12T00:00:00"/>
    <x v="7"/>
    <x v="0"/>
    <x v="0"/>
    <n v="518"/>
    <n v="1.25"/>
    <n v="1.05"/>
    <n v="647.5"/>
    <n v="543.9"/>
    <n v="103.6"/>
    <n v="518"/>
    <n v="25.900000000000002"/>
    <n v="0.04"/>
    <x v="0"/>
  </r>
  <r>
    <d v="2024-05-01T00:00:00"/>
    <x v="8"/>
    <x v="1"/>
    <x v="0"/>
    <n v="5321"/>
    <n v="1.25"/>
    <n v="1.05"/>
    <n v="6651.25"/>
    <n v="5587.05"/>
    <n v="1064.19999999999"/>
    <n v="5321"/>
    <n v="266.05"/>
    <n v="0.04"/>
    <x v="6"/>
  </r>
  <r>
    <d v="2024-08-02T00:00:00"/>
    <x v="9"/>
    <x v="1"/>
    <x v="0"/>
    <n v="1973"/>
    <n v="1.25"/>
    <n v="1.05"/>
    <n v="2466.25"/>
    <n v="2071.65"/>
    <n v="394.599999999999"/>
    <n v="1973"/>
    <n v="98.65"/>
    <n v="0.04"/>
    <x v="7"/>
  </r>
  <r>
    <d v="2024-11-26T00:00:00"/>
    <x v="10"/>
    <x v="3"/>
    <x v="2"/>
    <n v="4561"/>
    <n v="1.2"/>
    <n v="1"/>
    <n v="5473.2"/>
    <n v="4561"/>
    <n v="912.19999999999902"/>
    <n v="4561"/>
    <n v="228.05"/>
    <n v="4.1666666666666671E-2"/>
    <x v="8"/>
  </r>
  <r>
    <d v="2024-03-28T00:00:00"/>
    <x v="11"/>
    <x v="4"/>
    <x v="1"/>
    <n v="3106"/>
    <n v="0.9"/>
    <n v="0.7"/>
    <n v="2795.4"/>
    <n v="2174.1999999999998"/>
    <n v="621.20000000000005"/>
    <n v="3106"/>
    <n v="155.30000000000001"/>
    <n v="5.5555555555555559E-2"/>
    <x v="3"/>
  </r>
  <r>
    <d v="2024-04-09T00:00:00"/>
    <x v="9"/>
    <x v="2"/>
    <x v="0"/>
    <n v="951"/>
    <n v="1.25"/>
    <n v="1.05"/>
    <n v="1188.75"/>
    <n v="998.55"/>
    <n v="190.19999999999899"/>
    <n v="951"/>
    <n v="47.550000000000004"/>
    <n v="0.04"/>
    <x v="0"/>
  </r>
  <r>
    <d v="2024-12-25T00:00:00"/>
    <x v="12"/>
    <x v="4"/>
    <x v="2"/>
    <n v="5760"/>
    <n v="1.2"/>
    <n v="1"/>
    <n v="6912"/>
    <n v="5760"/>
    <n v="1152"/>
    <n v="5760"/>
    <n v="288"/>
    <n v="4.1666666666666664E-2"/>
    <x v="1"/>
  </r>
  <r>
    <d v="2024-05-31T00:00:00"/>
    <x v="7"/>
    <x v="0"/>
    <x v="0"/>
    <n v="5703"/>
    <n v="1.25"/>
    <n v="1.05"/>
    <n v="7128.75"/>
    <n v="5988.15"/>
    <n v="1140.5999999999899"/>
    <n v="5703"/>
    <n v="285.15000000000003"/>
    <n v="4.0000000000000008E-2"/>
    <x v="6"/>
  </r>
  <r>
    <d v="2024-05-10T00:00:00"/>
    <x v="2"/>
    <x v="1"/>
    <x v="2"/>
    <n v="4265"/>
    <n v="1.2"/>
    <n v="1"/>
    <n v="5118"/>
    <n v="4265"/>
    <n v="853"/>
    <n v="4265"/>
    <n v="213.25"/>
    <n v="4.1666666666666664E-2"/>
    <x v="6"/>
  </r>
  <r>
    <d v="2024-05-29T00:00:00"/>
    <x v="8"/>
    <x v="3"/>
    <x v="0"/>
    <n v="2938"/>
    <n v="1.25"/>
    <n v="1.05"/>
    <n v="3672.5"/>
    <n v="3084.9"/>
    <n v="587.599999999999"/>
    <n v="2938"/>
    <n v="146.9"/>
    <n v="0.04"/>
    <x v="6"/>
  </r>
  <r>
    <d v="2024-11-04T00:00:00"/>
    <x v="7"/>
    <x v="3"/>
    <x v="1"/>
    <n v="4810"/>
    <n v="0.9"/>
    <n v="0.7"/>
    <n v="4329"/>
    <n v="3367"/>
    <n v="962"/>
    <n v="4810"/>
    <n v="240.5"/>
    <n v="5.5555555555555552E-2"/>
    <x v="8"/>
  </r>
  <r>
    <d v="2024-09-14T00:00:00"/>
    <x v="1"/>
    <x v="2"/>
    <x v="2"/>
    <n v="2049"/>
    <n v="1.2"/>
    <n v="1"/>
    <n v="2458.7999999999902"/>
    <n v="2049"/>
    <n v="409.79999999999899"/>
    <n v="2049"/>
    <n v="102.45"/>
    <n v="4.1666666666666831E-2"/>
    <x v="2"/>
  </r>
  <r>
    <d v="2024-12-09T00:00:00"/>
    <x v="5"/>
    <x v="4"/>
    <x v="0"/>
    <n v="3974"/>
    <n v="1.25"/>
    <n v="1.05"/>
    <n v="4967.5"/>
    <n v="4172.7"/>
    <n v="794.8"/>
    <n v="3974"/>
    <n v="198.70000000000002"/>
    <n v="0.04"/>
    <x v="1"/>
  </r>
  <r>
    <d v="2024-10-20T00:00:00"/>
    <x v="0"/>
    <x v="2"/>
    <x v="0"/>
    <n v="627"/>
    <n v="1.25"/>
    <n v="1.05"/>
    <n v="783.75"/>
    <n v="658.35"/>
    <n v="125.399999999999"/>
    <n v="627"/>
    <n v="31.35"/>
    <n v="0.04"/>
    <x v="9"/>
  </r>
  <r>
    <d v="2024-07-10T00:00:00"/>
    <x v="10"/>
    <x v="1"/>
    <x v="0"/>
    <n v="5355"/>
    <n v="1.25"/>
    <n v="1.05"/>
    <n v="6693.75"/>
    <n v="5622.75"/>
    <n v="1071"/>
    <n v="5355"/>
    <n v="267.75"/>
    <n v="0.04"/>
    <x v="4"/>
  </r>
  <r>
    <d v="2024-10-03T00:00:00"/>
    <x v="13"/>
    <x v="2"/>
    <x v="0"/>
    <n v="3261"/>
    <n v="1.25"/>
    <n v="1.05"/>
    <n v="4076.25"/>
    <n v="3424.05"/>
    <n v="652.19999999999902"/>
    <n v="3261"/>
    <n v="163.05000000000001"/>
    <n v="0.04"/>
    <x v="9"/>
  </r>
  <r>
    <d v="2024-06-09T00:00:00"/>
    <x v="5"/>
    <x v="3"/>
    <x v="0"/>
    <n v="4956"/>
    <n v="1.25"/>
    <n v="1.05"/>
    <n v="6195"/>
    <n v="5203.8"/>
    <n v="991.19999999999902"/>
    <n v="4956"/>
    <n v="247.8"/>
    <n v="0.04"/>
    <x v="10"/>
  </r>
  <r>
    <d v="2024-11-09T00:00:00"/>
    <x v="13"/>
    <x v="3"/>
    <x v="1"/>
    <n v="5164"/>
    <n v="0.9"/>
    <n v="0.7"/>
    <n v="4647.6000000000004"/>
    <n v="3614.7999999999902"/>
    <n v="1032.8"/>
    <n v="5164"/>
    <n v="258.2"/>
    <n v="5.5555555555555546E-2"/>
    <x v="8"/>
  </r>
  <r>
    <d v="2024-01-22T00:00:00"/>
    <x v="3"/>
    <x v="0"/>
    <x v="2"/>
    <n v="1915"/>
    <n v="1.2"/>
    <n v="1"/>
    <n v="2298"/>
    <n v="1915"/>
    <n v="383"/>
    <n v="1915"/>
    <n v="95.75"/>
    <n v="4.1666666666666664E-2"/>
    <x v="5"/>
  </r>
  <r>
    <d v="2024-09-09T00:00:00"/>
    <x v="0"/>
    <x v="0"/>
    <x v="2"/>
    <n v="701"/>
    <n v="1.2"/>
    <n v="1"/>
    <n v="841.19999999999902"/>
    <n v="701"/>
    <n v="140.19999999999899"/>
    <n v="701"/>
    <n v="35.050000000000004"/>
    <n v="4.166666666666672E-2"/>
    <x v="2"/>
  </r>
  <r>
    <d v="2024-08-23T00:00:00"/>
    <x v="8"/>
    <x v="1"/>
    <x v="0"/>
    <n v="2869"/>
    <n v="1.25"/>
    <n v="1.05"/>
    <n v="3586.25"/>
    <n v="3012.45"/>
    <n v="573.79999999999905"/>
    <n v="2869"/>
    <n v="143.45000000000002"/>
    <n v="4.0000000000000008E-2"/>
    <x v="7"/>
  </r>
  <r>
    <d v="2024-12-10T00:00:00"/>
    <x v="6"/>
    <x v="4"/>
    <x v="1"/>
    <n v="1017"/>
    <n v="0.9"/>
    <n v="0.7"/>
    <n v="915.3"/>
    <n v="711.9"/>
    <n v="203.4"/>
    <n v="1017"/>
    <n v="50.85"/>
    <n v="5.5555555555555559E-2"/>
    <x v="1"/>
  </r>
  <r>
    <d v="2024-02-18T00:00:00"/>
    <x v="11"/>
    <x v="2"/>
    <x v="2"/>
    <n v="5944"/>
    <n v="1.2"/>
    <n v="1"/>
    <n v="7132.8"/>
    <n v="5944"/>
    <n v="1188.8"/>
    <n v="5944"/>
    <n v="297.2"/>
    <n v="4.1666666666666664E-2"/>
    <x v="11"/>
  </r>
  <r>
    <d v="2024-02-28T00:00:00"/>
    <x v="4"/>
    <x v="1"/>
    <x v="0"/>
    <n v="1841"/>
    <n v="1.25"/>
    <n v="1.05"/>
    <n v="2301.25"/>
    <n v="1933.05"/>
    <n v="368.19999999999902"/>
    <n v="1841"/>
    <n v="92.050000000000011"/>
    <n v="4.0000000000000008E-2"/>
    <x v="11"/>
  </r>
  <r>
    <d v="2024-06-18T00:00:00"/>
    <x v="14"/>
    <x v="0"/>
    <x v="2"/>
    <n v="5276"/>
    <n v="1.2"/>
    <n v="1"/>
    <n v="6331.2"/>
    <n v="5276"/>
    <n v="1055.19999999999"/>
    <n v="5276"/>
    <n v="263.8"/>
    <n v="4.1666666666666671E-2"/>
    <x v="10"/>
  </r>
  <r>
    <d v="2024-07-06T00:00:00"/>
    <x v="0"/>
    <x v="2"/>
    <x v="2"/>
    <n v="2488"/>
    <n v="1.2"/>
    <n v="1"/>
    <n v="2985.6"/>
    <n v="2488"/>
    <n v="497.599999999999"/>
    <n v="2488"/>
    <n v="124.4"/>
    <n v="4.1666666666666671E-2"/>
    <x v="4"/>
  </r>
  <r>
    <d v="2024-09-27T00:00:00"/>
    <x v="5"/>
    <x v="0"/>
    <x v="0"/>
    <n v="4045"/>
    <n v="1.25"/>
    <n v="1.05"/>
    <n v="5056.25"/>
    <n v="4247.25"/>
    <n v="809"/>
    <n v="4045"/>
    <n v="202.25"/>
    <n v="0.04"/>
    <x v="2"/>
  </r>
  <r>
    <d v="2024-07-08T00:00:00"/>
    <x v="10"/>
    <x v="2"/>
    <x v="0"/>
    <n v="5020"/>
    <n v="1.25"/>
    <n v="1.05"/>
    <n v="6275"/>
    <n v="5271"/>
    <n v="1004"/>
    <n v="5020"/>
    <n v="251"/>
    <n v="0.04"/>
    <x v="4"/>
  </r>
  <r>
    <d v="2024-06-23T00:00:00"/>
    <x v="14"/>
    <x v="4"/>
    <x v="0"/>
    <n v="4302"/>
    <n v="1.25"/>
    <n v="1.05"/>
    <n v="5377.5"/>
    <n v="4517.1000000000004"/>
    <n v="860.39999999999895"/>
    <n v="4302"/>
    <n v="215.10000000000002"/>
    <n v="0.04"/>
    <x v="10"/>
  </r>
  <r>
    <d v="2024-02-20T00:00:00"/>
    <x v="12"/>
    <x v="1"/>
    <x v="0"/>
    <n v="3775"/>
    <n v="1.25"/>
    <n v="1.05"/>
    <n v="4718.75"/>
    <n v="3963.75"/>
    <n v="755"/>
    <n v="3775"/>
    <n v="188.75"/>
    <n v="0.04"/>
    <x v="11"/>
  </r>
  <r>
    <d v="2024-12-29T00:00:00"/>
    <x v="12"/>
    <x v="2"/>
    <x v="1"/>
    <n v="4154"/>
    <n v="0.9"/>
    <n v="0.7"/>
    <n v="3738.6"/>
    <n v="2907.7999999999902"/>
    <n v="830.8"/>
    <n v="4154"/>
    <n v="207.70000000000002"/>
    <n v="5.5555555555555559E-2"/>
    <x v="1"/>
  </r>
  <r>
    <d v="2024-02-24T00:00:00"/>
    <x v="7"/>
    <x v="3"/>
    <x v="2"/>
    <n v="2934"/>
    <n v="1.2"/>
    <n v="1"/>
    <n v="3520.7999999999902"/>
    <n v="2934"/>
    <n v="586.79999999999905"/>
    <n v="2934"/>
    <n v="146.70000000000002"/>
    <n v="4.1666666666666789E-2"/>
    <x v="11"/>
  </r>
  <r>
    <d v="2024-08-31T00:00:00"/>
    <x v="14"/>
    <x v="3"/>
    <x v="2"/>
    <n v="5373"/>
    <n v="1.2"/>
    <n v="1"/>
    <n v="6447.5999999999904"/>
    <n v="5373"/>
    <n v="1074.5999999999899"/>
    <n v="5373"/>
    <n v="268.65000000000003"/>
    <n v="4.1666666666666734E-2"/>
    <x v="7"/>
  </r>
  <r>
    <d v="2024-11-15T00:00:00"/>
    <x v="10"/>
    <x v="2"/>
    <x v="0"/>
    <n v="707"/>
    <n v="1.25"/>
    <n v="1.05"/>
    <n v="883.75"/>
    <n v="742.35"/>
    <n v="141.39999999999901"/>
    <n v="707"/>
    <n v="35.35"/>
    <n v="0.04"/>
    <x v="8"/>
  </r>
  <r>
    <d v="2024-05-10T00:00:00"/>
    <x v="8"/>
    <x v="2"/>
    <x v="0"/>
    <n v="3133"/>
    <n v="1.25"/>
    <n v="1.05"/>
    <n v="3916.25"/>
    <n v="3289.65"/>
    <n v="626.599999999999"/>
    <n v="3133"/>
    <n v="156.65"/>
    <n v="0.04"/>
    <x v="6"/>
  </r>
  <r>
    <d v="2024-11-02T00:00:00"/>
    <x v="3"/>
    <x v="2"/>
    <x v="2"/>
    <n v="4617"/>
    <n v="1.2"/>
    <n v="1"/>
    <n v="5540.4"/>
    <n v="4617"/>
    <n v="923.39999999999895"/>
    <n v="4617"/>
    <n v="230.85000000000002"/>
    <n v="4.1666666666666671E-2"/>
    <x v="8"/>
  </r>
  <r>
    <d v="2024-05-14T00:00:00"/>
    <x v="13"/>
    <x v="3"/>
    <x v="2"/>
    <n v="653"/>
    <n v="1.2"/>
    <n v="1"/>
    <n v="783.6"/>
    <n v="653"/>
    <n v="130.6"/>
    <n v="653"/>
    <n v="32.65"/>
    <n v="4.1666666666666664E-2"/>
    <x v="6"/>
  </r>
  <r>
    <d v="2024-01-21T00:00:00"/>
    <x v="7"/>
    <x v="3"/>
    <x v="0"/>
    <n v="3866"/>
    <n v="1.25"/>
    <n v="1.05"/>
    <n v="4832.5"/>
    <n v="4059.3"/>
    <n v="773.19999999999902"/>
    <n v="3866"/>
    <n v="193.3"/>
    <n v="0.04"/>
    <x v="5"/>
  </r>
  <r>
    <d v="2024-11-24T00:00:00"/>
    <x v="12"/>
    <x v="2"/>
    <x v="2"/>
    <n v="4814"/>
    <n v="1.2"/>
    <n v="1"/>
    <n v="5776.8"/>
    <n v="4814"/>
    <n v="962.8"/>
    <n v="4814"/>
    <n v="240.70000000000002"/>
    <n v="4.1666666666666671E-2"/>
    <x v="8"/>
  </r>
  <r>
    <d v="2024-06-15T00:00:00"/>
    <x v="4"/>
    <x v="0"/>
    <x v="2"/>
    <n v="5264"/>
    <n v="1.2"/>
    <n v="1"/>
    <n v="6316.8"/>
    <n v="5264"/>
    <n v="1052.8"/>
    <n v="5264"/>
    <n v="263.2"/>
    <n v="4.1666666666666664E-2"/>
    <x v="10"/>
  </r>
  <r>
    <d v="2024-09-30T00:00:00"/>
    <x v="4"/>
    <x v="0"/>
    <x v="0"/>
    <n v="2018"/>
    <n v="1.25"/>
    <n v="1.05"/>
    <n v="2522.5"/>
    <n v="2118.9"/>
    <n v="403.599999999999"/>
    <n v="2018"/>
    <n v="100.9"/>
    <n v="0.04"/>
    <x v="2"/>
  </r>
  <r>
    <d v="2024-03-29T00:00:00"/>
    <x v="5"/>
    <x v="4"/>
    <x v="0"/>
    <n v="3100"/>
    <n v="1.25"/>
    <n v="1.05"/>
    <n v="3875"/>
    <n v="3255"/>
    <n v="620"/>
    <n v="3100"/>
    <n v="155"/>
    <n v="0.04"/>
    <x v="3"/>
  </r>
  <r>
    <d v="2024-11-11T00:00:00"/>
    <x v="8"/>
    <x v="1"/>
    <x v="2"/>
    <n v="5545"/>
    <n v="1.2"/>
    <n v="1"/>
    <n v="6654"/>
    <n v="5545"/>
    <n v="1109"/>
    <n v="5545"/>
    <n v="277.25"/>
    <n v="4.1666666666666664E-2"/>
    <x v="8"/>
  </r>
  <r>
    <d v="2024-01-14T00:00:00"/>
    <x v="6"/>
    <x v="0"/>
    <x v="0"/>
    <n v="2695"/>
    <n v="1.25"/>
    <n v="1.05"/>
    <n v="3368.75"/>
    <n v="2829.75"/>
    <n v="539"/>
    <n v="2695"/>
    <n v="134.75"/>
    <n v="0.04"/>
    <x v="5"/>
  </r>
  <r>
    <d v="2024-08-29T00:00:00"/>
    <x v="12"/>
    <x v="3"/>
    <x v="0"/>
    <n v="4998"/>
    <n v="1.25"/>
    <n v="1.05"/>
    <n v="6247.5"/>
    <n v="5247.9"/>
    <n v="999.599999999999"/>
    <n v="4998"/>
    <n v="249.9"/>
    <n v="0.04"/>
    <x v="7"/>
  </r>
  <r>
    <d v="2024-09-21T00:00:00"/>
    <x v="2"/>
    <x v="0"/>
    <x v="0"/>
    <n v="5191"/>
    <n v="1.25"/>
    <n v="1.05"/>
    <n v="6488.75"/>
    <n v="5450.55"/>
    <n v="1038.19999999999"/>
    <n v="5191"/>
    <n v="259.55"/>
    <n v="0.04"/>
    <x v="2"/>
  </r>
  <r>
    <d v="2024-12-11T00:00:00"/>
    <x v="8"/>
    <x v="4"/>
    <x v="0"/>
    <n v="4054"/>
    <n v="1.25"/>
    <n v="1.05"/>
    <n v="5067.5"/>
    <n v="4256.7"/>
    <n v="810.8"/>
    <n v="4054"/>
    <n v="202.70000000000002"/>
    <n v="0.04"/>
    <x v="1"/>
  </r>
  <r>
    <d v="2024-02-22T00:00:00"/>
    <x v="3"/>
    <x v="4"/>
    <x v="2"/>
    <n v="2914"/>
    <n v="1.2"/>
    <n v="1"/>
    <n v="3496.7999999999902"/>
    <n v="2914"/>
    <n v="582.79999999999905"/>
    <n v="2914"/>
    <n v="145.70000000000002"/>
    <n v="4.1666666666666789E-2"/>
    <x v="11"/>
  </r>
  <r>
    <d v="2024-12-05T00:00:00"/>
    <x v="13"/>
    <x v="1"/>
    <x v="2"/>
    <n v="3349"/>
    <n v="1.2"/>
    <n v="1"/>
    <n v="4018.7999999999902"/>
    <n v="3349"/>
    <n v="669.79999999999905"/>
    <n v="3349"/>
    <n v="167.45000000000002"/>
    <n v="4.1666666666666775E-2"/>
    <x v="1"/>
  </r>
  <r>
    <d v="2024-04-01T00:00:00"/>
    <x v="10"/>
    <x v="0"/>
    <x v="0"/>
    <n v="5753"/>
    <n v="1.25"/>
    <n v="1.05"/>
    <n v="7191.25"/>
    <n v="6040.65"/>
    <n v="1150.5999999999899"/>
    <n v="5753"/>
    <n v="287.65000000000003"/>
    <n v="4.0000000000000008E-2"/>
    <x v="0"/>
  </r>
  <r>
    <d v="2024-09-20T00:00:00"/>
    <x v="14"/>
    <x v="3"/>
    <x v="1"/>
    <n v="2242"/>
    <n v="0.9"/>
    <n v="0.7"/>
    <n v="2017.8"/>
    <n v="1569.3999999999901"/>
    <n v="448.4"/>
    <n v="2242"/>
    <n v="112.10000000000001"/>
    <n v="5.5555555555555559E-2"/>
    <x v="2"/>
  </r>
  <r>
    <d v="2024-02-04T00:00:00"/>
    <x v="12"/>
    <x v="3"/>
    <x v="1"/>
    <n v="1806"/>
    <n v="0.9"/>
    <n v="0.7"/>
    <n v="1625.4"/>
    <n v="1264.19999999999"/>
    <n v="361.2"/>
    <n v="1806"/>
    <n v="90.300000000000011"/>
    <n v="5.5555555555555559E-2"/>
    <x v="11"/>
  </r>
  <r>
    <d v="2024-07-24T00:00:00"/>
    <x v="14"/>
    <x v="2"/>
    <x v="1"/>
    <n v="4349"/>
    <n v="0.9"/>
    <n v="0.7"/>
    <n v="3914.1"/>
    <n v="3044.2999999999902"/>
    <n v="869.8"/>
    <n v="4349"/>
    <n v="217.45000000000002"/>
    <n v="5.5555555555555559E-2"/>
    <x v="4"/>
  </r>
  <r>
    <d v="2024-03-21T00:00:00"/>
    <x v="4"/>
    <x v="3"/>
    <x v="0"/>
    <n v="4668"/>
    <n v="1.25"/>
    <n v="1.05"/>
    <n v="5835"/>
    <n v="4901.3999999999996"/>
    <n v="933.599999999999"/>
    <n v="4668"/>
    <n v="233.4"/>
    <n v="0.04"/>
    <x v="3"/>
  </r>
  <r>
    <d v="2024-02-19T00:00:00"/>
    <x v="10"/>
    <x v="1"/>
    <x v="0"/>
    <n v="5076"/>
    <n v="1.25"/>
    <n v="1.05"/>
    <n v="6345"/>
    <n v="5329.8"/>
    <n v="1015.19999999999"/>
    <n v="5076"/>
    <n v="253.8"/>
    <n v="0.04"/>
    <x v="11"/>
  </r>
  <r>
    <d v="2024-12-25T00:00:00"/>
    <x v="10"/>
    <x v="1"/>
    <x v="1"/>
    <n v="5155"/>
    <n v="0.9"/>
    <n v="0.7"/>
    <n v="4639.5"/>
    <n v="3608.49999999999"/>
    <n v="1031"/>
    <n v="5155"/>
    <n v="257.75"/>
    <n v="5.5555555555555552E-2"/>
    <x v="1"/>
  </r>
  <r>
    <d v="2024-01-02T00:00:00"/>
    <x v="10"/>
    <x v="3"/>
    <x v="2"/>
    <n v="5340"/>
    <n v="1.2"/>
    <n v="1"/>
    <n v="6408"/>
    <n v="5340"/>
    <n v="1068"/>
    <n v="5340"/>
    <n v="267"/>
    <n v="4.1666666666666664E-2"/>
    <x v="5"/>
  </r>
  <r>
    <d v="2024-02-23T00:00:00"/>
    <x v="4"/>
    <x v="3"/>
    <x v="0"/>
    <n v="4695"/>
    <n v="1.25"/>
    <n v="1.05"/>
    <n v="5868.75"/>
    <n v="4929.75"/>
    <n v="939"/>
    <n v="4695"/>
    <n v="234.75"/>
    <n v="0.04"/>
    <x v="11"/>
  </r>
  <r>
    <d v="2024-04-15T00:00:00"/>
    <x v="3"/>
    <x v="2"/>
    <x v="0"/>
    <n v="5678"/>
    <n v="1.25"/>
    <n v="1.05"/>
    <n v="7097.5"/>
    <n v="5961.9"/>
    <n v="1135.5999999999899"/>
    <n v="5678"/>
    <n v="283.90000000000003"/>
    <n v="4.0000000000000008E-2"/>
    <x v="0"/>
  </r>
  <r>
    <d v="2024-09-16T00:00:00"/>
    <x v="14"/>
    <x v="3"/>
    <x v="0"/>
    <n v="3055"/>
    <n v="1.25"/>
    <n v="1.05"/>
    <n v="3818.75"/>
    <n v="3207.75"/>
    <n v="611"/>
    <n v="3055"/>
    <n v="152.75"/>
    <n v="0.04"/>
    <x v="2"/>
  </r>
  <r>
    <d v="2024-11-05T00:00:00"/>
    <x v="9"/>
    <x v="2"/>
    <x v="1"/>
    <n v="2805"/>
    <n v="0.9"/>
    <n v="0.7"/>
    <n v="2524.5"/>
    <n v="1963.49999999999"/>
    <n v="561"/>
    <n v="2805"/>
    <n v="140.25"/>
    <n v="5.5555555555555552E-2"/>
    <x v="8"/>
  </r>
  <r>
    <d v="2024-07-09T00:00:00"/>
    <x v="14"/>
    <x v="2"/>
    <x v="2"/>
    <n v="5008"/>
    <n v="1.2"/>
    <n v="1"/>
    <n v="6009.5999999999904"/>
    <n v="5008"/>
    <n v="1001.59999999999"/>
    <n v="5008"/>
    <n v="250.4"/>
    <n v="4.1666666666666734E-2"/>
    <x v="4"/>
  </r>
  <r>
    <d v="2024-08-05T00:00:00"/>
    <x v="1"/>
    <x v="3"/>
    <x v="0"/>
    <n v="1588"/>
    <n v="1.25"/>
    <n v="1.05"/>
    <n v="1985"/>
    <n v="1667.4"/>
    <n v="317.599999999999"/>
    <n v="1588"/>
    <n v="79.400000000000006"/>
    <n v="0.04"/>
    <x v="7"/>
  </r>
  <r>
    <d v="2024-02-13T00:00:00"/>
    <x v="13"/>
    <x v="4"/>
    <x v="0"/>
    <n v="3142"/>
    <n v="1.25"/>
    <n v="1.05"/>
    <n v="3927.5"/>
    <n v="3299.1"/>
    <n v="628.39999999999895"/>
    <n v="3142"/>
    <n v="157.10000000000002"/>
    <n v="4.0000000000000008E-2"/>
    <x v="11"/>
  </r>
  <r>
    <d v="2024-06-10T00:00:00"/>
    <x v="2"/>
    <x v="4"/>
    <x v="2"/>
    <n v="1677"/>
    <n v="1.2"/>
    <n v="1"/>
    <n v="2012.3999999999901"/>
    <n v="1677"/>
    <n v="335.39999999999901"/>
    <n v="1677"/>
    <n v="83.850000000000009"/>
    <n v="4.1666666666666879E-2"/>
    <x v="10"/>
  </r>
  <r>
    <d v="2024-07-20T00:00:00"/>
    <x v="9"/>
    <x v="2"/>
    <x v="2"/>
    <n v="5416"/>
    <n v="1.2"/>
    <n v="1"/>
    <n v="6499.2"/>
    <n v="5416"/>
    <n v="1083.19999999999"/>
    <n v="5416"/>
    <n v="270.8"/>
    <n v="4.1666666666666671E-2"/>
    <x v="4"/>
  </r>
  <r>
    <d v="2024-09-26T00:00:00"/>
    <x v="13"/>
    <x v="3"/>
    <x v="0"/>
    <n v="5257"/>
    <n v="1.25"/>
    <n v="1.05"/>
    <n v="6571.25"/>
    <n v="5519.85"/>
    <n v="1051.3999999999901"/>
    <n v="5257"/>
    <n v="262.85000000000002"/>
    <n v="0.04"/>
    <x v="2"/>
  </r>
  <r>
    <d v="2024-12-16T00:00:00"/>
    <x v="7"/>
    <x v="4"/>
    <x v="2"/>
    <n v="3494"/>
    <n v="1.2"/>
    <n v="1"/>
    <n v="4192.8"/>
    <n v="3494"/>
    <n v="698.8"/>
    <n v="3494"/>
    <n v="174.70000000000002"/>
    <n v="4.1666666666666671E-2"/>
    <x v="1"/>
  </r>
  <r>
    <d v="2024-10-30T00:00:00"/>
    <x v="8"/>
    <x v="3"/>
    <x v="1"/>
    <n v="1059"/>
    <n v="0.9"/>
    <n v="0.7"/>
    <n v="953.1"/>
    <n v="741.3"/>
    <n v="211.8"/>
    <n v="1059"/>
    <n v="52.95"/>
    <n v="5.5555555555555559E-2"/>
    <x v="9"/>
  </r>
  <r>
    <d v="2024-09-27T00:00:00"/>
    <x v="8"/>
    <x v="3"/>
    <x v="0"/>
    <n v="3464"/>
    <n v="1.25"/>
    <n v="1.05"/>
    <n v="4330"/>
    <n v="3637.2"/>
    <n v="692.79999999999905"/>
    <n v="3464"/>
    <n v="173.20000000000002"/>
    <n v="0.04"/>
    <x v="2"/>
  </r>
  <r>
    <d v="2024-08-02T00:00:00"/>
    <x v="11"/>
    <x v="3"/>
    <x v="2"/>
    <n v="1771"/>
    <n v="1.2"/>
    <n v="1"/>
    <n v="2125.1999999999998"/>
    <n v="1771"/>
    <n v="354.19999999999902"/>
    <n v="1771"/>
    <n v="88.550000000000011"/>
    <n v="4.1666666666666678E-2"/>
    <x v="7"/>
  </r>
  <r>
    <d v="2024-09-08T00:00:00"/>
    <x v="8"/>
    <x v="0"/>
    <x v="0"/>
    <n v="2313"/>
    <n v="1.25"/>
    <n v="1.05"/>
    <n v="2891.25"/>
    <n v="2428.65"/>
    <n v="462.599999999999"/>
    <n v="2313"/>
    <n v="115.65"/>
    <n v="0.04"/>
    <x v="2"/>
  </r>
  <r>
    <d v="2024-07-08T00:00:00"/>
    <x v="14"/>
    <x v="3"/>
    <x v="2"/>
    <n v="3415"/>
    <n v="1.2"/>
    <n v="1"/>
    <n v="4098"/>
    <n v="3415"/>
    <n v="683"/>
    <n v="3415"/>
    <n v="170.75"/>
    <n v="4.1666666666666664E-2"/>
    <x v="4"/>
  </r>
  <r>
    <d v="2024-10-22T00:00:00"/>
    <x v="4"/>
    <x v="0"/>
    <x v="2"/>
    <n v="1109"/>
    <n v="1.2"/>
    <n v="1"/>
    <n v="1330.8"/>
    <n v="1109"/>
    <n v="221.79999999999899"/>
    <n v="1109"/>
    <n v="55.45"/>
    <n v="4.1666666666666671E-2"/>
    <x v="9"/>
  </r>
  <r>
    <d v="2024-07-31T00:00:00"/>
    <x v="2"/>
    <x v="2"/>
    <x v="2"/>
    <n v="2961"/>
    <n v="1.2"/>
    <n v="1"/>
    <n v="3553.2"/>
    <n v="2961"/>
    <n v="592.19999999999902"/>
    <n v="2961"/>
    <n v="148.05000000000001"/>
    <n v="4.1666666666666671E-2"/>
    <x v="4"/>
  </r>
  <r>
    <d v="2024-07-26T00:00:00"/>
    <x v="6"/>
    <x v="4"/>
    <x v="2"/>
    <n v="4620"/>
    <n v="1.2"/>
    <n v="1"/>
    <n v="5544"/>
    <n v="4620"/>
    <n v="924"/>
    <n v="4620"/>
    <n v="231"/>
    <n v="4.1666666666666664E-2"/>
    <x v="4"/>
  </r>
  <r>
    <d v="2024-08-24T00:00:00"/>
    <x v="5"/>
    <x v="4"/>
    <x v="0"/>
    <n v="783"/>
    <n v="1.25"/>
    <n v="1.05"/>
    <n v="978.75"/>
    <n v="822.15"/>
    <n v="156.599999999999"/>
    <n v="783"/>
    <n v="39.150000000000006"/>
    <n v="4.0000000000000008E-2"/>
    <x v="7"/>
  </r>
  <r>
    <d v="2024-12-03T00:00:00"/>
    <x v="11"/>
    <x v="4"/>
    <x v="1"/>
    <n v="3428"/>
    <n v="0.9"/>
    <n v="0.7"/>
    <n v="3085.2"/>
    <n v="2399.6"/>
    <n v="685.6"/>
    <n v="3428"/>
    <n v="171.4"/>
    <n v="5.5555555555555559E-2"/>
    <x v="1"/>
  </r>
  <r>
    <d v="2024-02-22T00:00:00"/>
    <x v="0"/>
    <x v="4"/>
    <x v="2"/>
    <n v="4896"/>
    <n v="1.2"/>
    <n v="1"/>
    <n v="5875.2"/>
    <n v="4896"/>
    <n v="979.19999999999902"/>
    <n v="4896"/>
    <n v="244.8"/>
    <n v="4.1666666666666671E-2"/>
    <x v="11"/>
  </r>
  <r>
    <d v="2024-10-06T00:00:00"/>
    <x v="0"/>
    <x v="4"/>
    <x v="0"/>
    <n v="1591"/>
    <n v="1.25"/>
    <n v="1.05"/>
    <n v="1988.75"/>
    <n v="1670.55"/>
    <n v="318.19999999999902"/>
    <n v="1591"/>
    <n v="79.550000000000011"/>
    <n v="4.0000000000000008E-2"/>
    <x v="9"/>
  </r>
  <r>
    <d v="2024-08-04T00:00:00"/>
    <x v="5"/>
    <x v="4"/>
    <x v="2"/>
    <n v="5626"/>
    <n v="1.2"/>
    <n v="1"/>
    <n v="6751.2"/>
    <n v="5626"/>
    <n v="1125.19999999999"/>
    <n v="5626"/>
    <n v="281.3"/>
    <n v="4.1666666666666671E-2"/>
    <x v="7"/>
  </r>
  <r>
    <d v="2024-09-08T00:00:00"/>
    <x v="13"/>
    <x v="4"/>
    <x v="2"/>
    <n v="1316"/>
    <n v="1.2"/>
    <n v="1"/>
    <n v="1579.2"/>
    <n v="1316"/>
    <n v="263.2"/>
    <n v="1316"/>
    <n v="65.8"/>
    <n v="4.1666666666666664E-2"/>
    <x v="2"/>
  </r>
  <r>
    <d v="2024-07-06T00:00:00"/>
    <x v="5"/>
    <x v="2"/>
    <x v="0"/>
    <n v="582"/>
    <n v="1.25"/>
    <n v="1.05"/>
    <n v="727.5"/>
    <n v="611.1"/>
    <n v="116.399999999999"/>
    <n v="582"/>
    <n v="29.1"/>
    <n v="0.04"/>
    <x v="4"/>
  </r>
  <r>
    <d v="2024-02-10T00:00:00"/>
    <x v="5"/>
    <x v="3"/>
    <x v="1"/>
    <n v="2420"/>
    <n v="0.9"/>
    <n v="0.7"/>
    <n v="2178"/>
    <n v="1694"/>
    <n v="484"/>
    <n v="2420"/>
    <n v="121"/>
    <n v="5.5555555555555552E-2"/>
    <x v="11"/>
  </r>
  <r>
    <d v="2024-06-05T00:00:00"/>
    <x v="0"/>
    <x v="1"/>
    <x v="1"/>
    <n v="3991"/>
    <n v="0.9"/>
    <n v="0.7"/>
    <n v="3591.9"/>
    <n v="2793.7"/>
    <n v="798.2"/>
    <n v="3991"/>
    <n v="199.55"/>
    <n v="5.5555555555555559E-2"/>
    <x v="10"/>
  </r>
  <r>
    <d v="2024-01-15T00:00:00"/>
    <x v="11"/>
    <x v="0"/>
    <x v="0"/>
    <n v="3644"/>
    <n v="1.25"/>
    <n v="1.05"/>
    <n v="4555"/>
    <n v="3826.2"/>
    <n v="728.79999999999905"/>
    <n v="3644"/>
    <n v="182.20000000000002"/>
    <n v="0.04"/>
    <x v="5"/>
  </r>
  <r>
    <d v="2024-10-27T00:00:00"/>
    <x v="7"/>
    <x v="1"/>
    <x v="1"/>
    <n v="2593"/>
    <n v="0.9"/>
    <n v="0.7"/>
    <n v="2333.6999999999998"/>
    <n v="1815.1"/>
    <n v="518.6"/>
    <n v="2593"/>
    <n v="129.65"/>
    <n v="5.5555555555555559E-2"/>
    <x v="9"/>
  </r>
  <r>
    <d v="2024-03-05T00:00:00"/>
    <x v="14"/>
    <x v="1"/>
    <x v="0"/>
    <n v="5213"/>
    <n v="1.25"/>
    <n v="1.05"/>
    <n v="6516.25"/>
    <n v="5473.65"/>
    <n v="1042.5999999999899"/>
    <n v="5213"/>
    <n v="260.65000000000003"/>
    <n v="4.0000000000000008E-2"/>
    <x v="3"/>
  </r>
  <r>
    <d v="2024-12-10T00:00:00"/>
    <x v="10"/>
    <x v="3"/>
    <x v="0"/>
    <n v="675"/>
    <n v="1.25"/>
    <n v="1.05"/>
    <n v="843.75"/>
    <n v="708.75"/>
    <n v="135"/>
    <n v="675"/>
    <n v="33.75"/>
    <n v="0.04"/>
    <x v="1"/>
  </r>
  <r>
    <d v="2024-11-22T00:00:00"/>
    <x v="8"/>
    <x v="3"/>
    <x v="0"/>
    <n v="5785"/>
    <n v="1.25"/>
    <n v="1.05"/>
    <n v="7231.25"/>
    <n v="6074.25"/>
    <n v="1157"/>
    <n v="5785"/>
    <n v="289.25"/>
    <n v="0.04"/>
    <x v="8"/>
  </r>
  <r>
    <d v="2024-01-09T00:00:00"/>
    <x v="8"/>
    <x v="3"/>
    <x v="1"/>
    <n v="3204"/>
    <n v="0.9"/>
    <n v="0.7"/>
    <n v="2883.6"/>
    <n v="2242.7999999999902"/>
    <n v="640.79999999999995"/>
    <n v="3204"/>
    <n v="160.20000000000002"/>
    <n v="5.5555555555555566E-2"/>
    <x v="5"/>
  </r>
  <r>
    <d v="2024-12-09T00:00:00"/>
    <x v="4"/>
    <x v="4"/>
    <x v="2"/>
    <n v="5437"/>
    <n v="1.2"/>
    <n v="1"/>
    <n v="6524.4"/>
    <n v="5437"/>
    <n v="1087.3999999999901"/>
    <n v="5437"/>
    <n v="271.85000000000002"/>
    <n v="4.1666666666666671E-2"/>
    <x v="1"/>
  </r>
  <r>
    <d v="2024-05-08T00:00:00"/>
    <x v="11"/>
    <x v="2"/>
    <x v="0"/>
    <n v="869"/>
    <n v="1.25"/>
    <n v="1.05"/>
    <n v="1086.25"/>
    <n v="912.45"/>
    <n v="173.79999999999899"/>
    <n v="869"/>
    <n v="43.45"/>
    <n v="0.04"/>
    <x v="6"/>
  </r>
  <r>
    <d v="2024-05-15T00:00:00"/>
    <x v="4"/>
    <x v="4"/>
    <x v="0"/>
    <n v="2318"/>
    <n v="1.25"/>
    <n v="1.05"/>
    <n v="2897.5"/>
    <n v="2433.9"/>
    <n v="463.599999999999"/>
    <n v="2318"/>
    <n v="115.9"/>
    <n v="0.04"/>
    <x v="6"/>
  </r>
  <r>
    <d v="2024-03-03T00:00:00"/>
    <x v="6"/>
    <x v="2"/>
    <x v="2"/>
    <n v="2601"/>
    <n v="1.2"/>
    <n v="1"/>
    <n v="3121.2"/>
    <n v="2601"/>
    <n v="520.19999999999902"/>
    <n v="2601"/>
    <n v="130.05000000000001"/>
    <n v="4.1666666666666671E-2"/>
    <x v="3"/>
  </r>
  <r>
    <d v="2024-05-18T00:00:00"/>
    <x v="6"/>
    <x v="2"/>
    <x v="0"/>
    <n v="5285"/>
    <n v="1.25"/>
    <n v="1.05"/>
    <n v="6606.25"/>
    <n v="5549.25"/>
    <n v="1057"/>
    <n v="5285"/>
    <n v="264.25"/>
    <n v="0.04"/>
    <x v="6"/>
  </r>
  <r>
    <d v="2024-03-21T00:00:00"/>
    <x v="4"/>
    <x v="1"/>
    <x v="1"/>
    <n v="3990"/>
    <n v="0.9"/>
    <n v="0.7"/>
    <n v="3591"/>
    <n v="2793"/>
    <n v="798"/>
    <n v="3990"/>
    <n v="199.5"/>
    <n v="5.5555555555555552E-2"/>
    <x v="3"/>
  </r>
  <r>
    <d v="2024-06-11T00:00:00"/>
    <x v="11"/>
    <x v="1"/>
    <x v="2"/>
    <n v="2279"/>
    <n v="1.2"/>
    <n v="1"/>
    <n v="2734.7999999999902"/>
    <n v="2279"/>
    <n v="455.79999999999899"/>
    <n v="2279"/>
    <n v="113.95"/>
    <n v="4.1666666666666817E-2"/>
    <x v="10"/>
  </r>
  <r>
    <d v="2024-10-15T00:00:00"/>
    <x v="4"/>
    <x v="2"/>
    <x v="2"/>
    <n v="1864"/>
    <n v="1.2"/>
    <n v="1"/>
    <n v="2236.7999999999902"/>
    <n v="1864"/>
    <n v="372.79999999999899"/>
    <n v="1864"/>
    <n v="93.2"/>
    <n v="4.1666666666666852E-2"/>
    <x v="9"/>
  </r>
  <r>
    <d v="2024-09-17T00:00:00"/>
    <x v="8"/>
    <x v="2"/>
    <x v="1"/>
    <n v="4962"/>
    <n v="0.9"/>
    <n v="0.7"/>
    <n v="4465.8"/>
    <n v="3473.3999999999901"/>
    <n v="992.4"/>
    <n v="4962"/>
    <n v="248.10000000000002"/>
    <n v="5.5555555555555559E-2"/>
    <x v="2"/>
  </r>
  <r>
    <d v="2024-08-18T00:00:00"/>
    <x v="9"/>
    <x v="4"/>
    <x v="0"/>
    <n v="3842"/>
    <n v="1.25"/>
    <n v="1.05"/>
    <n v="4802.5"/>
    <n v="4034.1"/>
    <n v="768.39999999999895"/>
    <n v="3842"/>
    <n v="192.10000000000002"/>
    <n v="4.0000000000000008E-2"/>
    <x v="7"/>
  </r>
  <r>
    <d v="2024-02-10T00:00:00"/>
    <x v="1"/>
    <x v="4"/>
    <x v="1"/>
    <n v="5239"/>
    <n v="0.9"/>
    <n v="0.7"/>
    <n v="4715.1000000000004"/>
    <n v="3667.2999999999902"/>
    <n v="1047.8"/>
    <n v="5239"/>
    <n v="261.95"/>
    <n v="5.5555555555555546E-2"/>
    <x v="11"/>
  </r>
  <r>
    <d v="2024-01-28T00:00:00"/>
    <x v="0"/>
    <x v="1"/>
    <x v="2"/>
    <n v="4176"/>
    <n v="1.2"/>
    <n v="1"/>
    <n v="5011.2"/>
    <n v="4176"/>
    <n v="835.19999999999902"/>
    <n v="4176"/>
    <n v="208.8"/>
    <n v="4.1666666666666671E-2"/>
    <x v="5"/>
  </r>
  <r>
    <d v="2024-05-14T00:00:00"/>
    <x v="0"/>
    <x v="3"/>
    <x v="2"/>
    <n v="2926"/>
    <n v="1.2"/>
    <n v="1"/>
    <n v="3511.2"/>
    <n v="2926"/>
    <n v="585.19999999999902"/>
    <n v="2926"/>
    <n v="146.30000000000001"/>
    <n v="4.1666666666666671E-2"/>
    <x v="6"/>
  </r>
  <r>
    <d v="2024-07-19T00:00:00"/>
    <x v="2"/>
    <x v="2"/>
    <x v="0"/>
    <n v="572"/>
    <n v="1.25"/>
    <n v="1.05"/>
    <n v="715"/>
    <n v="600.6"/>
    <n v="114.399999999999"/>
    <n v="572"/>
    <n v="28.6"/>
    <n v="0.04"/>
    <x v="4"/>
  </r>
  <r>
    <d v="2024-11-23T00:00:00"/>
    <x v="5"/>
    <x v="4"/>
    <x v="1"/>
    <n v="3462"/>
    <n v="0.9"/>
    <n v="0.7"/>
    <n v="3115.8"/>
    <n v="2423.3999999999901"/>
    <n v="692.4"/>
    <n v="3462"/>
    <n v="173.10000000000002"/>
    <n v="5.5555555555555559E-2"/>
    <x v="8"/>
  </r>
  <r>
    <d v="2024-09-24T00:00:00"/>
    <x v="1"/>
    <x v="1"/>
    <x v="0"/>
    <n v="5867"/>
    <n v="1.25"/>
    <n v="1.05"/>
    <n v="7333.75"/>
    <n v="6160.35"/>
    <n v="1173.3999999999901"/>
    <n v="5867"/>
    <n v="293.35000000000002"/>
    <n v="0.04"/>
    <x v="2"/>
  </r>
  <r>
    <d v="2024-02-02T00:00:00"/>
    <x v="14"/>
    <x v="4"/>
    <x v="0"/>
    <n v="1359"/>
    <n v="1.25"/>
    <n v="1.05"/>
    <n v="1698.75"/>
    <n v="1426.95"/>
    <n v="271.79999999999899"/>
    <n v="1359"/>
    <n v="67.95"/>
    <n v="0.04"/>
    <x v="11"/>
  </r>
  <r>
    <d v="2024-02-17T00:00:00"/>
    <x v="11"/>
    <x v="2"/>
    <x v="0"/>
    <n v="4356"/>
    <n v="1.25"/>
    <n v="1.05"/>
    <n v="5445"/>
    <n v="4573.8"/>
    <n v="871.19999999999902"/>
    <n v="4356"/>
    <n v="217.8"/>
    <n v="0.04"/>
    <x v="11"/>
  </r>
  <r>
    <d v="2024-03-02T00:00:00"/>
    <x v="3"/>
    <x v="2"/>
    <x v="2"/>
    <n v="4638"/>
    <n v="1.2"/>
    <n v="1"/>
    <n v="5565.5999999999904"/>
    <n v="4638"/>
    <n v="927.599999999999"/>
    <n v="4638"/>
    <n v="231.9"/>
    <n v="4.1666666666666741E-2"/>
    <x v="3"/>
  </r>
  <r>
    <d v="2024-08-03T00:00:00"/>
    <x v="1"/>
    <x v="0"/>
    <x v="2"/>
    <n v="2924"/>
    <n v="1.2"/>
    <n v="1"/>
    <n v="3508.7999999999902"/>
    <n v="2924"/>
    <n v="584.79999999999905"/>
    <n v="2924"/>
    <n v="146.20000000000002"/>
    <n v="4.1666666666666789E-2"/>
    <x v="7"/>
  </r>
  <r>
    <d v="2024-10-19T00:00:00"/>
    <x v="2"/>
    <x v="3"/>
    <x v="2"/>
    <n v="1564"/>
    <n v="1.2"/>
    <n v="1"/>
    <n v="1876.8"/>
    <n v="1564"/>
    <n v="312.79999999999899"/>
    <n v="1564"/>
    <n v="78.2"/>
    <n v="4.1666666666666671E-2"/>
    <x v="9"/>
  </r>
  <r>
    <d v="2024-04-08T00:00:00"/>
    <x v="6"/>
    <x v="0"/>
    <x v="1"/>
    <n v="2717"/>
    <n v="0.9"/>
    <n v="0.7"/>
    <n v="2445.3000000000002"/>
    <n v="1901.8999999999901"/>
    <n v="543.4"/>
    <n v="2717"/>
    <n v="135.85"/>
    <n v="5.5555555555555552E-2"/>
    <x v="0"/>
  </r>
  <r>
    <d v="2024-06-20T00:00:00"/>
    <x v="13"/>
    <x v="1"/>
    <x v="0"/>
    <n v="4517"/>
    <n v="1.25"/>
    <n v="1.05"/>
    <n v="5646.25"/>
    <n v="4742.8500000000004"/>
    <n v="903.39999999999895"/>
    <n v="4517"/>
    <n v="225.85000000000002"/>
    <n v="0.04"/>
    <x v="10"/>
  </r>
  <r>
    <d v="2024-12-25T00:00:00"/>
    <x v="5"/>
    <x v="4"/>
    <x v="2"/>
    <n v="2759"/>
    <n v="1.2"/>
    <n v="1"/>
    <n v="3310.7999999999902"/>
    <n v="2759"/>
    <n v="551.79999999999905"/>
    <n v="2759"/>
    <n v="137.95000000000002"/>
    <n v="4.1666666666666796E-2"/>
    <x v="1"/>
  </r>
  <r>
    <d v="2024-08-01T00:00:00"/>
    <x v="2"/>
    <x v="1"/>
    <x v="0"/>
    <n v="4251"/>
    <n v="1.25"/>
    <n v="1.05"/>
    <n v="5313.75"/>
    <n v="4463.55"/>
    <n v="850.19999999999902"/>
    <n v="4251"/>
    <n v="212.55"/>
    <n v="0.04"/>
    <x v="7"/>
  </r>
  <r>
    <d v="2024-02-04T00:00:00"/>
    <x v="10"/>
    <x v="2"/>
    <x v="1"/>
    <n v="2586"/>
    <n v="0.9"/>
    <n v="0.7"/>
    <n v="2327.4"/>
    <n v="1810.19999999999"/>
    <n v="517.20000000000005"/>
    <n v="2586"/>
    <n v="129.30000000000001"/>
    <n v="5.5555555555555559E-2"/>
    <x v="11"/>
  </r>
  <r>
    <d v="2024-08-14T00:00:00"/>
    <x v="3"/>
    <x v="0"/>
    <x v="2"/>
    <n v="868"/>
    <n v="1.2"/>
    <n v="1"/>
    <n v="1041.5999999999999"/>
    <n v="868"/>
    <n v="173.599999999999"/>
    <n v="868"/>
    <n v="43.400000000000006"/>
    <n v="4.1666666666666678E-2"/>
    <x v="7"/>
  </r>
  <r>
    <d v="2024-04-10T00:00:00"/>
    <x v="11"/>
    <x v="0"/>
    <x v="2"/>
    <n v="3304"/>
    <n v="1.2"/>
    <n v="1"/>
    <n v="3964.7999999999902"/>
    <n v="3304"/>
    <n v="660.79999999999905"/>
    <n v="3304"/>
    <n v="165.20000000000002"/>
    <n v="4.1666666666666775E-2"/>
    <x v="0"/>
  </r>
  <r>
    <d v="2024-05-10T00:00:00"/>
    <x v="5"/>
    <x v="0"/>
    <x v="2"/>
    <n v="650"/>
    <n v="1.2"/>
    <n v="1"/>
    <n v="780"/>
    <n v="650"/>
    <n v="130"/>
    <n v="650"/>
    <n v="32.5"/>
    <n v="4.1666666666666664E-2"/>
    <x v="6"/>
  </r>
  <r>
    <d v="2024-09-13T00:00:00"/>
    <x v="14"/>
    <x v="1"/>
    <x v="0"/>
    <n v="1634"/>
    <n v="1.25"/>
    <n v="1.05"/>
    <n v="2042.5"/>
    <n v="1715.7"/>
    <n v="326.79999999999899"/>
    <n v="1634"/>
    <n v="81.7"/>
    <n v="0.04"/>
    <x v="2"/>
  </r>
  <r>
    <d v="2024-01-05T00:00:00"/>
    <x v="1"/>
    <x v="2"/>
    <x v="0"/>
    <n v="5666"/>
    <n v="1.25"/>
    <n v="1.05"/>
    <n v="7082.5"/>
    <n v="5949.3"/>
    <n v="1133.19999999999"/>
    <n v="5666"/>
    <n v="283.3"/>
    <n v="0.04"/>
    <x v="5"/>
  </r>
  <r>
    <d v="2024-08-05T00:00:00"/>
    <x v="6"/>
    <x v="4"/>
    <x v="2"/>
    <n v="5619"/>
    <n v="1.2"/>
    <n v="1"/>
    <n v="6742.8"/>
    <n v="5619"/>
    <n v="1123.8"/>
    <n v="5619"/>
    <n v="280.95"/>
    <n v="4.1666666666666664E-2"/>
    <x v="7"/>
  </r>
  <r>
    <d v="2024-09-11T00:00:00"/>
    <x v="7"/>
    <x v="4"/>
    <x v="0"/>
    <n v="3284"/>
    <n v="1.25"/>
    <n v="1.05"/>
    <n v="4105"/>
    <n v="3448.2"/>
    <n v="656.79999999999905"/>
    <n v="3284"/>
    <n v="164.20000000000002"/>
    <n v="0.04"/>
    <x v="2"/>
  </r>
  <r>
    <d v="2024-12-24T00:00:00"/>
    <x v="9"/>
    <x v="1"/>
    <x v="0"/>
    <n v="5985"/>
    <n v="1.25"/>
    <n v="1.05"/>
    <n v="7481.25"/>
    <n v="6284.25"/>
    <n v="1197"/>
    <n v="5985"/>
    <n v="299.25"/>
    <n v="0.04"/>
    <x v="1"/>
  </r>
  <r>
    <d v="2024-10-09T00:00:00"/>
    <x v="10"/>
    <x v="0"/>
    <x v="0"/>
    <n v="4664"/>
    <n v="1.25"/>
    <n v="1.05"/>
    <n v="5830"/>
    <n v="4897.2"/>
    <n v="932.8"/>
    <n v="4664"/>
    <n v="233.20000000000002"/>
    <n v="0.04"/>
    <x v="9"/>
  </r>
  <r>
    <d v="2024-07-25T00:00:00"/>
    <x v="3"/>
    <x v="3"/>
    <x v="2"/>
    <n v="2846"/>
    <n v="1.2"/>
    <n v="1"/>
    <n v="3415.2"/>
    <n v="2846"/>
    <n v="569.19999999999902"/>
    <n v="2846"/>
    <n v="142.30000000000001"/>
    <n v="4.1666666666666671E-2"/>
    <x v="4"/>
  </r>
  <r>
    <d v="2024-01-15T00:00:00"/>
    <x v="9"/>
    <x v="1"/>
    <x v="0"/>
    <n v="5539"/>
    <n v="1.25"/>
    <n v="1.05"/>
    <n v="6923.75"/>
    <n v="5815.95"/>
    <n v="1107.8"/>
    <n v="5539"/>
    <n v="276.95"/>
    <n v="0.04"/>
    <x v="5"/>
  </r>
  <r>
    <d v="2024-12-11T00:00:00"/>
    <x v="5"/>
    <x v="1"/>
    <x v="0"/>
    <n v="5397"/>
    <n v="1.25"/>
    <n v="1.05"/>
    <n v="6746.25"/>
    <n v="5666.85"/>
    <n v="1079.3999999999901"/>
    <n v="5397"/>
    <n v="269.85000000000002"/>
    <n v="0.04"/>
    <x v="1"/>
  </r>
  <r>
    <d v="2024-02-11T00:00:00"/>
    <x v="6"/>
    <x v="2"/>
    <x v="2"/>
    <n v="2750"/>
    <n v="1.2"/>
    <n v="1"/>
    <n v="3300"/>
    <n v="2750"/>
    <n v="550"/>
    <n v="2750"/>
    <n v="137.5"/>
    <n v="4.1666666666666664E-2"/>
    <x v="11"/>
  </r>
  <r>
    <d v="2024-06-27T00:00:00"/>
    <x v="6"/>
    <x v="4"/>
    <x v="2"/>
    <n v="560"/>
    <n v="1.2"/>
    <n v="1"/>
    <n v="672"/>
    <n v="560"/>
    <n v="112"/>
    <n v="560"/>
    <n v="28"/>
    <n v="4.1666666666666664E-2"/>
    <x v="10"/>
  </r>
  <r>
    <d v="2024-03-03T00:00:00"/>
    <x v="2"/>
    <x v="1"/>
    <x v="0"/>
    <n v="5541"/>
    <n v="1.25"/>
    <n v="1.05"/>
    <n v="6926.25"/>
    <n v="5818.05"/>
    <n v="1108.19999999999"/>
    <n v="5541"/>
    <n v="277.05"/>
    <n v="0.04"/>
    <x v="3"/>
  </r>
  <r>
    <d v="2024-12-17T00:00:00"/>
    <x v="0"/>
    <x v="1"/>
    <x v="0"/>
    <n v="3510"/>
    <n v="1.25"/>
    <n v="1.05"/>
    <n v="4387.5"/>
    <n v="3685.5"/>
    <n v="702"/>
    <n v="3510"/>
    <n v="175.5"/>
    <n v="0.04"/>
    <x v="1"/>
  </r>
  <r>
    <d v="2024-08-18T00:00:00"/>
    <x v="0"/>
    <x v="0"/>
    <x v="0"/>
    <n v="4401"/>
    <n v="1.25"/>
    <n v="1.05"/>
    <n v="5501.25"/>
    <n v="4621.05"/>
    <n v="880.19999999999902"/>
    <n v="4401"/>
    <n v="220.05"/>
    <n v="0.04"/>
    <x v="7"/>
  </r>
  <r>
    <d v="2024-08-28T00:00:00"/>
    <x v="1"/>
    <x v="0"/>
    <x v="0"/>
    <n v="1837"/>
    <n v="1.25"/>
    <n v="1.05"/>
    <n v="2296.25"/>
    <n v="1928.85"/>
    <n v="367.39999999999901"/>
    <n v="1837"/>
    <n v="91.850000000000009"/>
    <n v="0.04"/>
    <x v="7"/>
  </r>
  <r>
    <d v="2024-02-21T00:00:00"/>
    <x v="2"/>
    <x v="3"/>
    <x v="0"/>
    <n v="1684"/>
    <n v="1.25"/>
    <n v="1.05"/>
    <n v="2105"/>
    <n v="1768.2"/>
    <n v="336.79999999999899"/>
    <n v="1684"/>
    <n v="84.2"/>
    <n v="0.04"/>
    <x v="11"/>
  </r>
  <r>
    <d v="2024-04-05T00:00:00"/>
    <x v="8"/>
    <x v="2"/>
    <x v="2"/>
    <n v="4926"/>
    <n v="1.2"/>
    <n v="1"/>
    <n v="5911.2"/>
    <n v="4926"/>
    <n v="985.19999999999902"/>
    <n v="4926"/>
    <n v="246.3"/>
    <n v="4.1666666666666671E-2"/>
    <x v="0"/>
  </r>
  <r>
    <d v="2024-08-09T00:00:00"/>
    <x v="1"/>
    <x v="3"/>
    <x v="2"/>
    <n v="2051"/>
    <n v="1.2"/>
    <n v="1"/>
    <n v="2461.1999999999998"/>
    <n v="2051"/>
    <n v="410.19999999999902"/>
    <n v="2051"/>
    <n v="102.55000000000001"/>
    <n v="4.1666666666666671E-2"/>
    <x v="7"/>
  </r>
  <r>
    <d v="2024-08-18T00:00:00"/>
    <x v="8"/>
    <x v="0"/>
    <x v="2"/>
    <n v="4933"/>
    <n v="1.2"/>
    <n v="1"/>
    <n v="5919.5999999999904"/>
    <n v="4933"/>
    <n v="986.599999999999"/>
    <n v="4933"/>
    <n v="246.65"/>
    <n v="4.1666666666666734E-2"/>
    <x v="7"/>
  </r>
  <r>
    <d v="2024-08-24T00:00:00"/>
    <x v="0"/>
    <x v="4"/>
    <x v="0"/>
    <n v="2129"/>
    <n v="1.25"/>
    <n v="1.05"/>
    <n v="2661.25"/>
    <n v="2235.4499999999998"/>
    <n v="425.79999999999899"/>
    <n v="2129"/>
    <n v="106.45"/>
    <n v="0.04"/>
    <x v="7"/>
  </r>
  <r>
    <d v="2024-05-22T00:00:00"/>
    <x v="2"/>
    <x v="0"/>
    <x v="2"/>
    <n v="1827"/>
    <n v="1.2"/>
    <n v="1"/>
    <n v="2192.4"/>
    <n v="1827"/>
    <n v="365.4"/>
    <n v="1827"/>
    <n v="91.350000000000009"/>
    <n v="4.1666666666666671E-2"/>
    <x v="6"/>
  </r>
  <r>
    <d v="2024-06-19T00:00:00"/>
    <x v="8"/>
    <x v="2"/>
    <x v="0"/>
    <n v="2026"/>
    <n v="1.25"/>
    <n v="1.05"/>
    <n v="2532.5"/>
    <n v="2127.3000000000002"/>
    <n v="405.19999999999902"/>
    <n v="2026"/>
    <n v="101.30000000000001"/>
    <n v="4.0000000000000008E-2"/>
    <x v="10"/>
  </r>
  <r>
    <d v="2024-01-29T00:00:00"/>
    <x v="10"/>
    <x v="0"/>
    <x v="1"/>
    <n v="2173"/>
    <n v="0.9"/>
    <n v="0.7"/>
    <n v="1955.7"/>
    <n v="1521.1"/>
    <n v="434.6"/>
    <n v="2173"/>
    <n v="108.65"/>
    <n v="5.5555555555555559E-2"/>
    <x v="5"/>
  </r>
  <r>
    <d v="2024-02-05T00:00:00"/>
    <x v="2"/>
    <x v="2"/>
    <x v="2"/>
    <n v="1861"/>
    <n v="1.2"/>
    <n v="1"/>
    <n v="2233.1999999999998"/>
    <n v="1861"/>
    <n v="372.19999999999902"/>
    <n v="1861"/>
    <n v="93.050000000000011"/>
    <n v="4.1666666666666678E-2"/>
    <x v="11"/>
  </r>
  <r>
    <d v="2024-01-13T00:00:00"/>
    <x v="0"/>
    <x v="2"/>
    <x v="0"/>
    <n v="2073"/>
    <n v="1.25"/>
    <n v="1.05"/>
    <n v="2591.25"/>
    <n v="2176.65"/>
    <n v="414.599999999999"/>
    <n v="2073"/>
    <n v="103.65"/>
    <n v="0.04"/>
    <x v="5"/>
  </r>
  <r>
    <d v="2024-06-08T00:00:00"/>
    <x v="1"/>
    <x v="2"/>
    <x v="2"/>
    <n v="3186"/>
    <n v="1.2"/>
    <n v="1"/>
    <n v="3823.2"/>
    <n v="3186"/>
    <n v="637.19999999999902"/>
    <n v="3186"/>
    <n v="159.30000000000001"/>
    <n v="4.1666666666666671E-2"/>
    <x v="10"/>
  </r>
  <r>
    <d v="2024-11-22T00:00:00"/>
    <x v="12"/>
    <x v="2"/>
    <x v="0"/>
    <n v="4870"/>
    <n v="1.25"/>
    <n v="1.05"/>
    <n v="6087.5"/>
    <n v="5113.5"/>
    <n v="974"/>
    <n v="4870"/>
    <n v="243.5"/>
    <n v="0.04"/>
    <x v="8"/>
  </r>
  <r>
    <d v="2024-07-05T00:00:00"/>
    <x v="2"/>
    <x v="2"/>
    <x v="2"/>
    <n v="5783"/>
    <n v="1.2"/>
    <n v="1"/>
    <n v="6939.5999999999904"/>
    <n v="5783"/>
    <n v="1156.5999999999899"/>
    <n v="5783"/>
    <n v="289.15000000000003"/>
    <n v="4.1666666666666727E-2"/>
    <x v="4"/>
  </r>
  <r>
    <d v="2024-08-30T00:00:00"/>
    <x v="7"/>
    <x v="4"/>
    <x v="0"/>
    <n v="2866"/>
    <n v="1.25"/>
    <n v="1.05"/>
    <n v="3582.5"/>
    <n v="3009.3"/>
    <n v="573.19999999999902"/>
    <n v="2866"/>
    <n v="143.30000000000001"/>
    <n v="0.04"/>
    <x v="7"/>
  </r>
  <r>
    <d v="2024-03-26T00:00:00"/>
    <x v="3"/>
    <x v="3"/>
    <x v="0"/>
    <n v="4257"/>
    <n v="1.25"/>
    <n v="1.05"/>
    <n v="5321.25"/>
    <n v="4469.8500000000004"/>
    <n v="851.39999999999895"/>
    <n v="4257"/>
    <n v="212.85000000000002"/>
    <n v="0.04"/>
    <x v="3"/>
  </r>
  <r>
    <d v="2024-10-10T00:00:00"/>
    <x v="0"/>
    <x v="1"/>
    <x v="1"/>
    <n v="2934"/>
    <n v="0.9"/>
    <n v="0.7"/>
    <n v="2640.6"/>
    <n v="2053.7999999999902"/>
    <n v="586.79999999999995"/>
    <n v="2934"/>
    <n v="146.70000000000002"/>
    <n v="5.5555555555555566E-2"/>
    <x v="9"/>
  </r>
  <r>
    <d v="2024-03-06T00:00:00"/>
    <x v="4"/>
    <x v="3"/>
    <x v="0"/>
    <n v="2493"/>
    <n v="1.25"/>
    <n v="1.05"/>
    <n v="3116.25"/>
    <n v="2617.65"/>
    <n v="498.599999999999"/>
    <n v="2493"/>
    <n v="124.65"/>
    <n v="0.04"/>
    <x v="3"/>
  </r>
  <r>
    <d v="2024-06-18T00:00:00"/>
    <x v="4"/>
    <x v="2"/>
    <x v="2"/>
    <n v="1369"/>
    <n v="1.2"/>
    <n v="1"/>
    <n v="1642.8"/>
    <n v="1369"/>
    <n v="273.79999999999899"/>
    <n v="1369"/>
    <n v="68.45"/>
    <n v="4.1666666666666671E-2"/>
    <x v="10"/>
  </r>
  <r>
    <d v="2024-02-14T00:00:00"/>
    <x v="1"/>
    <x v="4"/>
    <x v="0"/>
    <n v="1514"/>
    <n v="1.25"/>
    <n v="1.05"/>
    <n v="1892.5"/>
    <n v="1589.7"/>
    <n v="302.79999999999899"/>
    <n v="1514"/>
    <n v="75.7"/>
    <n v="0.04"/>
    <x v="11"/>
  </r>
  <r>
    <d v="2024-03-02T00:00:00"/>
    <x v="1"/>
    <x v="0"/>
    <x v="2"/>
    <n v="2411"/>
    <n v="1.2"/>
    <n v="1"/>
    <n v="2893.2"/>
    <n v="2411"/>
    <n v="482.19999999999902"/>
    <n v="2411"/>
    <n v="120.55000000000001"/>
    <n v="4.1666666666666671E-2"/>
    <x v="3"/>
  </r>
  <r>
    <d v="2024-05-13T00:00:00"/>
    <x v="9"/>
    <x v="4"/>
    <x v="2"/>
    <n v="1102"/>
    <n v="1.2"/>
    <n v="1"/>
    <n v="1322.3999999999901"/>
    <n v="1102"/>
    <n v="220.39999999999901"/>
    <n v="1102"/>
    <n v="55.1"/>
    <n v="4.1666666666666984E-2"/>
    <x v="6"/>
  </r>
  <r>
    <d v="2024-10-10T00:00:00"/>
    <x v="3"/>
    <x v="2"/>
    <x v="2"/>
    <n v="4321"/>
    <n v="1.2"/>
    <n v="1"/>
    <n v="5185.2"/>
    <n v="4321"/>
    <n v="864.19999999999902"/>
    <n v="4321"/>
    <n v="216.05"/>
    <n v="4.1666666666666671E-2"/>
    <x v="9"/>
  </r>
  <r>
    <d v="2024-01-28T00:00:00"/>
    <x v="3"/>
    <x v="4"/>
    <x v="0"/>
    <n v="1190"/>
    <n v="1.25"/>
    <n v="1.05"/>
    <n v="1487.5"/>
    <n v="1249.5"/>
    <n v="238"/>
    <n v="1190"/>
    <n v="59.5"/>
    <n v="0.04"/>
    <x v="5"/>
  </r>
  <r>
    <d v="2024-04-17T00:00:00"/>
    <x v="10"/>
    <x v="4"/>
    <x v="0"/>
    <n v="993"/>
    <n v="1.25"/>
    <n v="1.05"/>
    <n v="1241.25"/>
    <n v="1042.6500000000001"/>
    <n v="198.599999999999"/>
    <n v="993"/>
    <n v="49.650000000000006"/>
    <n v="4.0000000000000008E-2"/>
    <x v="0"/>
  </r>
  <r>
    <d v="2024-02-13T00:00:00"/>
    <x v="1"/>
    <x v="2"/>
    <x v="0"/>
    <n v="989"/>
    <n v="1.25"/>
    <n v="1.05"/>
    <n v="1236.25"/>
    <n v="1038.45"/>
    <n v="197.79999999999899"/>
    <n v="989"/>
    <n v="49.45"/>
    <n v="0.04"/>
    <x v="11"/>
  </r>
  <r>
    <d v="2024-12-05T00:00:00"/>
    <x v="3"/>
    <x v="4"/>
    <x v="0"/>
    <n v="3056"/>
    <n v="1.25"/>
    <n v="1.05"/>
    <n v="3820"/>
    <n v="3208.8"/>
    <n v="611.19999999999902"/>
    <n v="3056"/>
    <n v="152.80000000000001"/>
    <n v="0.04"/>
    <x v="1"/>
  </r>
  <r>
    <d v="2024-10-12T00:00:00"/>
    <x v="14"/>
    <x v="1"/>
    <x v="2"/>
    <n v="4985"/>
    <n v="1.2"/>
    <n v="1"/>
    <n v="5982"/>
    <n v="4985"/>
    <n v="997"/>
    <n v="4985"/>
    <n v="249.25"/>
    <n v="4.1666666666666664E-2"/>
    <x v="9"/>
  </r>
  <r>
    <d v="2024-11-26T00:00:00"/>
    <x v="9"/>
    <x v="1"/>
    <x v="1"/>
    <n v="794"/>
    <n v="0.9"/>
    <n v="0.7"/>
    <n v="714.6"/>
    <n v="555.79999999999995"/>
    <n v="158.80000000000001"/>
    <n v="794"/>
    <n v="39.700000000000003"/>
    <n v="5.5555555555555559E-2"/>
    <x v="8"/>
  </r>
  <r>
    <d v="2024-05-07T00:00:00"/>
    <x v="8"/>
    <x v="4"/>
    <x v="1"/>
    <n v="5988"/>
    <n v="0.9"/>
    <n v="0.7"/>
    <n v="5389.2"/>
    <n v="4191.5999999999904"/>
    <n v="1197.5999999999999"/>
    <n v="5988"/>
    <n v="299.40000000000003"/>
    <n v="5.5555555555555566E-2"/>
    <x v="6"/>
  </r>
  <r>
    <d v="2024-12-13T00:00:00"/>
    <x v="6"/>
    <x v="0"/>
    <x v="2"/>
    <n v="4527"/>
    <n v="1.2"/>
    <n v="1"/>
    <n v="5432.4"/>
    <n v="4527"/>
    <n v="905.39999999999895"/>
    <n v="4527"/>
    <n v="226.35000000000002"/>
    <n v="4.1666666666666671E-2"/>
    <x v="1"/>
  </r>
  <r>
    <d v="2024-08-18T00:00:00"/>
    <x v="6"/>
    <x v="2"/>
    <x v="2"/>
    <n v="3343"/>
    <n v="1.2"/>
    <n v="1"/>
    <n v="4011.6"/>
    <n v="3343"/>
    <n v="668.599999999999"/>
    <n v="3343"/>
    <n v="167.15"/>
    <n v="4.1666666666666671E-2"/>
    <x v="7"/>
  </r>
  <r>
    <d v="2024-07-08T00:00:00"/>
    <x v="8"/>
    <x v="1"/>
    <x v="2"/>
    <n v="3412"/>
    <n v="1.2"/>
    <n v="1"/>
    <n v="4094.3999999999901"/>
    <n v="3412"/>
    <n v="682.39999999999895"/>
    <n v="3412"/>
    <n v="170.60000000000002"/>
    <n v="4.1666666666666775E-2"/>
    <x v="4"/>
  </r>
  <r>
    <d v="2024-08-12T00:00:00"/>
    <x v="11"/>
    <x v="0"/>
    <x v="0"/>
    <n v="2217"/>
    <n v="1.25"/>
    <n v="1.05"/>
    <n v="2771.25"/>
    <n v="2327.85"/>
    <n v="443.4"/>
    <n v="2217"/>
    <n v="110.85000000000001"/>
    <n v="0.04"/>
    <x v="7"/>
  </r>
  <r>
    <d v="2024-10-09T00:00:00"/>
    <x v="0"/>
    <x v="4"/>
    <x v="1"/>
    <n v="3096"/>
    <n v="0.9"/>
    <n v="0.7"/>
    <n v="2786.4"/>
    <n v="2167.1999999999998"/>
    <n v="619.20000000000005"/>
    <n v="3096"/>
    <n v="154.80000000000001"/>
    <n v="5.5555555555555559E-2"/>
    <x v="9"/>
  </r>
  <r>
    <d v="2024-04-30T00:00:00"/>
    <x v="9"/>
    <x v="0"/>
    <x v="2"/>
    <n v="5244"/>
    <n v="1.2"/>
    <n v="1"/>
    <n v="6292.8"/>
    <n v="5244"/>
    <n v="1048.8"/>
    <n v="5244"/>
    <n v="262.2"/>
    <n v="4.1666666666666664E-2"/>
    <x v="0"/>
  </r>
  <r>
    <d v="2024-04-25T00:00:00"/>
    <x v="14"/>
    <x v="3"/>
    <x v="2"/>
    <n v="2373"/>
    <n v="1.2"/>
    <n v="1"/>
    <n v="2847.6"/>
    <n v="2373"/>
    <n v="474.599999999999"/>
    <n v="2373"/>
    <n v="118.65"/>
    <n v="4.1666666666666671E-2"/>
    <x v="0"/>
  </r>
  <r>
    <d v="2024-08-20T00:00:00"/>
    <x v="3"/>
    <x v="1"/>
    <x v="0"/>
    <n v="5163"/>
    <n v="1.25"/>
    <n v="1.05"/>
    <n v="6453.75"/>
    <n v="5421.15"/>
    <n v="1032.5999999999899"/>
    <n v="5163"/>
    <n v="258.15000000000003"/>
    <n v="4.0000000000000008E-2"/>
    <x v="7"/>
  </r>
  <r>
    <d v="2024-09-15T00:00:00"/>
    <x v="12"/>
    <x v="4"/>
    <x v="0"/>
    <n v="3758"/>
    <n v="1.25"/>
    <n v="1.05"/>
    <n v="4697.5"/>
    <n v="3945.9"/>
    <n v="751.599999999999"/>
    <n v="3758"/>
    <n v="187.9"/>
    <n v="0.04"/>
    <x v="2"/>
  </r>
  <r>
    <d v="2024-12-24T00:00:00"/>
    <x v="9"/>
    <x v="2"/>
    <x v="0"/>
    <n v="3317"/>
    <n v="1.25"/>
    <n v="1.05"/>
    <n v="4146.25"/>
    <n v="3482.85"/>
    <n v="663.39999999999895"/>
    <n v="3317"/>
    <n v="165.85000000000002"/>
    <n v="4.0000000000000008E-2"/>
    <x v="1"/>
  </r>
  <r>
    <d v="2024-07-16T00:00:00"/>
    <x v="2"/>
    <x v="4"/>
    <x v="1"/>
    <n v="944"/>
    <n v="0.9"/>
    <n v="0.7"/>
    <n v="849.6"/>
    <n v="660.8"/>
    <n v="188.8"/>
    <n v="944"/>
    <n v="47.2"/>
    <n v="5.5555555555555559E-2"/>
    <x v="4"/>
  </r>
  <r>
    <d v="2024-05-16T00:00:00"/>
    <x v="8"/>
    <x v="2"/>
    <x v="2"/>
    <n v="4141"/>
    <n v="1.2"/>
    <n v="1"/>
    <n v="4969.2"/>
    <n v="4141"/>
    <n v="828.19999999999902"/>
    <n v="4141"/>
    <n v="207.05"/>
    <n v="4.1666666666666671E-2"/>
    <x v="6"/>
  </r>
  <r>
    <d v="2024-11-13T00:00:00"/>
    <x v="14"/>
    <x v="4"/>
    <x v="0"/>
    <n v="4958"/>
    <n v="1.25"/>
    <n v="1.05"/>
    <n v="6197.5"/>
    <n v="5205.8999999999996"/>
    <n v="991.599999999999"/>
    <n v="4958"/>
    <n v="247.9"/>
    <n v="0.04"/>
    <x v="8"/>
  </r>
  <r>
    <d v="2024-06-13T00:00:00"/>
    <x v="7"/>
    <x v="0"/>
    <x v="1"/>
    <n v="5807"/>
    <n v="0.9"/>
    <n v="0.7"/>
    <n v="5226.3"/>
    <n v="4064.8999999999901"/>
    <n v="1161.4000000000001"/>
    <n v="5807"/>
    <n v="290.35000000000002"/>
    <n v="5.5555555555555559E-2"/>
    <x v="10"/>
  </r>
  <r>
    <d v="2024-08-12T00:00:00"/>
    <x v="13"/>
    <x v="0"/>
    <x v="0"/>
    <n v="1241"/>
    <n v="1.25"/>
    <n v="1.05"/>
    <n v="1551.25"/>
    <n v="1303.05"/>
    <n v="248.2"/>
    <n v="1241"/>
    <n v="62.050000000000004"/>
    <n v="0.04"/>
    <x v="7"/>
  </r>
  <r>
    <d v="2024-11-02T00:00:00"/>
    <x v="5"/>
    <x v="0"/>
    <x v="0"/>
    <n v="2541"/>
    <n v="1.25"/>
    <n v="1.05"/>
    <n v="3176.25"/>
    <n v="2668.05"/>
    <n v="508.19999999999902"/>
    <n v="2541"/>
    <n v="127.05000000000001"/>
    <n v="0.04"/>
    <x v="8"/>
  </r>
  <r>
    <d v="2024-08-21T00:00:00"/>
    <x v="0"/>
    <x v="3"/>
    <x v="0"/>
    <n v="1179"/>
    <n v="1.25"/>
    <n v="1.05"/>
    <n v="1473.75"/>
    <n v="1237.95"/>
    <n v="235.79999999999899"/>
    <n v="1179"/>
    <n v="58.95"/>
    <n v="0.04"/>
    <x v="7"/>
  </r>
  <r>
    <d v="2024-06-20T00:00:00"/>
    <x v="8"/>
    <x v="2"/>
    <x v="2"/>
    <n v="2967"/>
    <n v="1.2"/>
    <n v="1"/>
    <n v="3560.4"/>
    <n v="2967"/>
    <n v="593.4"/>
    <n v="2967"/>
    <n v="148.35"/>
    <n v="4.1666666666666664E-2"/>
    <x v="10"/>
  </r>
  <r>
    <d v="2024-05-31T00:00:00"/>
    <x v="12"/>
    <x v="0"/>
    <x v="1"/>
    <n v="4197"/>
    <n v="0.9"/>
    <n v="0.7"/>
    <n v="3777.3"/>
    <n v="2937.8999999999901"/>
    <n v="839.4"/>
    <n v="4197"/>
    <n v="209.85000000000002"/>
    <n v="5.5555555555555559E-2"/>
    <x v="6"/>
  </r>
  <r>
    <d v="2024-11-10T00:00:00"/>
    <x v="3"/>
    <x v="3"/>
    <x v="0"/>
    <n v="1858"/>
    <n v="1.25"/>
    <n v="1.05"/>
    <n v="2322.5"/>
    <n v="1950.9"/>
    <n v="371.599999999999"/>
    <n v="1858"/>
    <n v="92.9"/>
    <n v="0.04"/>
    <x v="8"/>
  </r>
  <r>
    <d v="2024-06-08T00:00:00"/>
    <x v="12"/>
    <x v="2"/>
    <x v="1"/>
    <n v="562"/>
    <n v="0.9"/>
    <n v="0.7"/>
    <n v="505.8"/>
    <n v="393.4"/>
    <n v="112.4"/>
    <n v="562"/>
    <n v="28.1"/>
    <n v="5.5555555555555559E-2"/>
    <x v="10"/>
  </r>
  <r>
    <d v="2024-04-05T00:00:00"/>
    <x v="12"/>
    <x v="4"/>
    <x v="0"/>
    <n v="3059"/>
    <n v="1.25"/>
    <n v="1.05"/>
    <n v="3823.75"/>
    <n v="3211.95"/>
    <n v="611.79999999999905"/>
    <n v="3059"/>
    <n v="152.95000000000002"/>
    <n v="4.0000000000000008E-2"/>
    <x v="0"/>
  </r>
  <r>
    <d v="2024-08-20T00:00:00"/>
    <x v="1"/>
    <x v="3"/>
    <x v="1"/>
    <n v="5758"/>
    <n v="0.9"/>
    <n v="0.7"/>
    <n v="5182.2"/>
    <n v="4030.6"/>
    <n v="1151.5999999999999"/>
    <n v="5758"/>
    <n v="287.90000000000003"/>
    <n v="5.5555555555555566E-2"/>
    <x v="7"/>
  </r>
  <r>
    <d v="2024-06-28T00:00:00"/>
    <x v="1"/>
    <x v="1"/>
    <x v="2"/>
    <n v="4269"/>
    <n v="1.2"/>
    <n v="1"/>
    <n v="5122.8"/>
    <n v="4269"/>
    <n v="853.8"/>
    <n v="4269"/>
    <n v="213.45000000000002"/>
    <n v="4.1666666666666671E-2"/>
    <x v="10"/>
  </r>
  <r>
    <d v="2024-04-22T00:00:00"/>
    <x v="10"/>
    <x v="3"/>
    <x v="2"/>
    <n v="5824"/>
    <n v="1.2"/>
    <n v="1"/>
    <n v="6988.8"/>
    <n v="5824"/>
    <n v="1164.8"/>
    <n v="5824"/>
    <n v="291.2"/>
    <n v="4.1666666666666664E-2"/>
    <x v="0"/>
  </r>
  <r>
    <d v="2024-11-13T00:00:00"/>
    <x v="8"/>
    <x v="3"/>
    <x v="0"/>
    <n v="4851"/>
    <n v="1.25"/>
    <n v="1.05"/>
    <n v="6063.75"/>
    <n v="5093.55"/>
    <n v="970.19999999999902"/>
    <n v="4851"/>
    <n v="242.55"/>
    <n v="0.04"/>
    <x v="8"/>
  </r>
  <r>
    <d v="2024-02-21T00:00:00"/>
    <x v="10"/>
    <x v="2"/>
    <x v="1"/>
    <n v="634"/>
    <n v="0.9"/>
    <n v="0.7"/>
    <n v="570.6"/>
    <n v="443.79999999999899"/>
    <n v="126.8"/>
    <n v="634"/>
    <n v="31.700000000000003"/>
    <n v="5.5555555555555559E-2"/>
    <x v="11"/>
  </r>
  <r>
    <d v="2024-09-24T00:00:00"/>
    <x v="8"/>
    <x v="4"/>
    <x v="2"/>
    <n v="4144"/>
    <n v="1.2"/>
    <n v="1"/>
    <n v="4972.8"/>
    <n v="4144"/>
    <n v="828.8"/>
    <n v="4144"/>
    <n v="207.20000000000002"/>
    <n v="4.1666666666666671E-2"/>
    <x v="2"/>
  </r>
  <r>
    <d v="2024-10-21T00:00:00"/>
    <x v="0"/>
    <x v="1"/>
    <x v="0"/>
    <n v="5470"/>
    <n v="1.25"/>
    <n v="1.05"/>
    <n v="6837.5"/>
    <n v="5743.5"/>
    <n v="1094"/>
    <n v="5470"/>
    <n v="273.5"/>
    <n v="0.04"/>
    <x v="9"/>
  </r>
  <r>
    <d v="2024-04-22T00:00:00"/>
    <x v="9"/>
    <x v="0"/>
    <x v="2"/>
    <n v="5417"/>
    <n v="1.2"/>
    <n v="1"/>
    <n v="6500.4"/>
    <n v="5417"/>
    <n v="1083.3999999999901"/>
    <n v="5417"/>
    <n v="270.85000000000002"/>
    <n v="4.1666666666666671E-2"/>
    <x v="0"/>
  </r>
  <r>
    <d v="2024-04-10T00:00:00"/>
    <x v="5"/>
    <x v="0"/>
    <x v="0"/>
    <n v="2635"/>
    <n v="1.25"/>
    <n v="1.05"/>
    <n v="3293.75"/>
    <n v="2766.75"/>
    <n v="527"/>
    <n v="2635"/>
    <n v="131.75"/>
    <n v="0.04"/>
    <x v="0"/>
  </r>
  <r>
    <d v="2024-04-22T00:00:00"/>
    <x v="12"/>
    <x v="3"/>
    <x v="1"/>
    <n v="3778"/>
    <n v="0.9"/>
    <n v="0.7"/>
    <n v="3400.2"/>
    <n v="2644.6"/>
    <n v="755.6"/>
    <n v="3778"/>
    <n v="188.9"/>
    <n v="5.5555555555555559E-2"/>
    <x v="0"/>
  </r>
  <r>
    <d v="2024-03-21T00:00:00"/>
    <x v="0"/>
    <x v="2"/>
    <x v="0"/>
    <n v="1322"/>
    <n v="1.25"/>
    <n v="1.05"/>
    <n v="1652.5"/>
    <n v="1388.1"/>
    <n v="264.39999999999901"/>
    <n v="1322"/>
    <n v="66.100000000000009"/>
    <n v="4.0000000000000008E-2"/>
    <x v="3"/>
  </r>
  <r>
    <d v="2024-07-05T00:00:00"/>
    <x v="9"/>
    <x v="2"/>
    <x v="2"/>
    <n v="3574"/>
    <n v="1.2"/>
    <n v="1"/>
    <n v="4288.8"/>
    <n v="3574"/>
    <n v="714.8"/>
    <n v="3574"/>
    <n v="178.70000000000002"/>
    <n v="4.1666666666666671E-2"/>
    <x v="4"/>
  </r>
  <r>
    <d v="2024-04-22T00:00:00"/>
    <x v="13"/>
    <x v="0"/>
    <x v="2"/>
    <n v="5569"/>
    <n v="1.2"/>
    <n v="1"/>
    <n v="6682.8"/>
    <n v="5569"/>
    <n v="1113.8"/>
    <n v="5569"/>
    <n v="278.45"/>
    <n v="4.1666666666666664E-2"/>
    <x v="0"/>
  </r>
  <r>
    <d v="2024-01-02T00:00:00"/>
    <x v="6"/>
    <x v="1"/>
    <x v="0"/>
    <n v="3481"/>
    <n v="1.25"/>
    <n v="1.05"/>
    <n v="4351.25"/>
    <n v="3655.05"/>
    <n v="696.19999999999902"/>
    <n v="3481"/>
    <n v="174.05"/>
    <n v="0.04"/>
    <x v="5"/>
  </r>
  <r>
    <d v="2024-05-09T00:00:00"/>
    <x v="4"/>
    <x v="4"/>
    <x v="0"/>
    <n v="620"/>
    <n v="1.25"/>
    <n v="1.05"/>
    <n v="775"/>
    <n v="651"/>
    <n v="124"/>
    <n v="620"/>
    <n v="31"/>
    <n v="0.04"/>
    <x v="6"/>
  </r>
  <r>
    <d v="2024-08-07T00:00:00"/>
    <x v="2"/>
    <x v="1"/>
    <x v="0"/>
    <n v="2137"/>
    <n v="1.25"/>
    <n v="1.05"/>
    <n v="2671.25"/>
    <n v="2243.85"/>
    <n v="427.4"/>
    <n v="2137"/>
    <n v="106.85000000000001"/>
    <n v="0.04"/>
    <x v="7"/>
  </r>
  <r>
    <d v="2024-02-23T00:00:00"/>
    <x v="14"/>
    <x v="4"/>
    <x v="0"/>
    <n v="5960"/>
    <n v="1.25"/>
    <n v="1.05"/>
    <n v="7450"/>
    <n v="6258"/>
    <n v="1192"/>
    <n v="5960"/>
    <n v="298"/>
    <n v="0.04"/>
    <x v="11"/>
  </r>
  <r>
    <d v="2024-12-08T00:00:00"/>
    <x v="8"/>
    <x v="0"/>
    <x v="0"/>
    <n v="5603"/>
    <n v="1.25"/>
    <n v="1.05"/>
    <n v="7003.75"/>
    <n v="5883.15"/>
    <n v="1120.5999999999899"/>
    <n v="5603"/>
    <n v="280.15000000000003"/>
    <n v="4.0000000000000008E-2"/>
    <x v="1"/>
  </r>
  <r>
    <d v="2024-08-11T00:00:00"/>
    <x v="13"/>
    <x v="4"/>
    <x v="2"/>
    <n v="1424"/>
    <n v="1.2"/>
    <n v="1"/>
    <n v="1708.8"/>
    <n v="1424"/>
    <n v="284.79999999999899"/>
    <n v="1424"/>
    <n v="71.2"/>
    <n v="4.1666666666666671E-2"/>
    <x v="7"/>
  </r>
  <r>
    <d v="2024-08-12T00:00:00"/>
    <x v="6"/>
    <x v="2"/>
    <x v="0"/>
    <n v="1144"/>
    <n v="1.25"/>
    <n v="1.05"/>
    <n v="1430"/>
    <n v="1201.2"/>
    <n v="228.79999999999899"/>
    <n v="1144"/>
    <n v="57.2"/>
    <n v="0.04"/>
    <x v="7"/>
  </r>
  <r>
    <d v="2024-05-05T00:00:00"/>
    <x v="3"/>
    <x v="3"/>
    <x v="0"/>
    <n v="2532"/>
    <n v="1.25"/>
    <n v="1.05"/>
    <n v="3165"/>
    <n v="2658.6"/>
    <n v="506.4"/>
    <n v="2532"/>
    <n v="126.60000000000001"/>
    <n v="0.04"/>
    <x v="6"/>
  </r>
  <r>
    <d v="2024-05-09T00:00:00"/>
    <x v="11"/>
    <x v="3"/>
    <x v="2"/>
    <n v="3261"/>
    <n v="1.2"/>
    <n v="1"/>
    <n v="3913.2"/>
    <n v="3261"/>
    <n v="652.19999999999902"/>
    <n v="3261"/>
    <n v="163.05000000000001"/>
    <n v="4.1666666666666671E-2"/>
    <x v="6"/>
  </r>
  <r>
    <d v="2024-02-22T00:00:00"/>
    <x v="5"/>
    <x v="0"/>
    <x v="0"/>
    <n v="2568"/>
    <n v="1.25"/>
    <n v="1.05"/>
    <n v="3210"/>
    <n v="2696.4"/>
    <n v="513.599999999999"/>
    <n v="2568"/>
    <n v="128.4"/>
    <n v="0.04"/>
    <x v="11"/>
  </r>
  <r>
    <d v="2024-06-20T00:00:00"/>
    <x v="14"/>
    <x v="2"/>
    <x v="1"/>
    <n v="741"/>
    <n v="0.9"/>
    <n v="0.7"/>
    <n v="666.9"/>
    <n v="518.69999999999902"/>
    <n v="148.19999999999999"/>
    <n v="741"/>
    <n v="37.050000000000004"/>
    <n v="5.5555555555555566E-2"/>
    <x v="10"/>
  </r>
  <r>
    <d v="2024-08-05T00:00:00"/>
    <x v="10"/>
    <x v="1"/>
    <x v="1"/>
    <n v="3168"/>
    <n v="0.9"/>
    <n v="0.7"/>
    <n v="2851.2"/>
    <n v="2217.6"/>
    <n v="633.6"/>
    <n v="3168"/>
    <n v="158.4"/>
    <n v="5.5555555555555559E-2"/>
    <x v="7"/>
  </r>
  <r>
    <d v="2024-06-08T00:00:00"/>
    <x v="10"/>
    <x v="2"/>
    <x v="2"/>
    <n v="1302"/>
    <n v="1.2"/>
    <n v="1"/>
    <n v="1562.3999999999901"/>
    <n v="1302"/>
    <n v="260.39999999999901"/>
    <n v="1302"/>
    <n v="65.100000000000009"/>
    <n v="4.1666666666666935E-2"/>
    <x v="10"/>
  </r>
  <r>
    <d v="2024-07-16T00:00:00"/>
    <x v="9"/>
    <x v="3"/>
    <x v="2"/>
    <n v="5559"/>
    <n v="1.2"/>
    <n v="1"/>
    <n v="6670.8"/>
    <n v="5559"/>
    <n v="1111.8"/>
    <n v="5559"/>
    <n v="277.95"/>
    <n v="4.1666666666666664E-2"/>
    <x v="4"/>
  </r>
  <r>
    <d v="2024-09-03T00:00:00"/>
    <x v="14"/>
    <x v="3"/>
    <x v="1"/>
    <n v="4664"/>
    <n v="0.9"/>
    <n v="0.7"/>
    <n v="4197.6000000000004"/>
    <n v="3264.7999999999902"/>
    <n v="932.8"/>
    <n v="4664"/>
    <n v="233.20000000000002"/>
    <n v="5.5555555555555552E-2"/>
    <x v="2"/>
  </r>
  <r>
    <d v="2024-11-19T00:00:00"/>
    <x v="1"/>
    <x v="2"/>
    <x v="0"/>
    <n v="5748"/>
    <n v="1.25"/>
    <n v="1.05"/>
    <n v="7185"/>
    <n v="6035.4"/>
    <n v="1149.5999999999899"/>
    <n v="5748"/>
    <n v="287.40000000000003"/>
    <n v="4.0000000000000008E-2"/>
    <x v="8"/>
  </r>
  <r>
    <d v="2024-07-21T00:00:00"/>
    <x v="6"/>
    <x v="2"/>
    <x v="0"/>
    <n v="695"/>
    <n v="1.25"/>
    <n v="1.05"/>
    <n v="868.75"/>
    <n v="729.75"/>
    <n v="139"/>
    <n v="695"/>
    <n v="34.75"/>
    <n v="0.04"/>
    <x v="4"/>
  </r>
  <r>
    <d v="2024-07-02T00:00:00"/>
    <x v="11"/>
    <x v="3"/>
    <x v="0"/>
    <n v="2687"/>
    <n v="1.25"/>
    <n v="1.05"/>
    <n v="3358.75"/>
    <n v="2821.35"/>
    <n v="537.4"/>
    <n v="2687"/>
    <n v="134.35"/>
    <n v="0.04"/>
    <x v="4"/>
  </r>
  <r>
    <d v="2024-05-02T00:00:00"/>
    <x v="13"/>
    <x v="1"/>
    <x v="2"/>
    <n v="4015"/>
    <n v="1.2"/>
    <n v="1"/>
    <n v="4818"/>
    <n v="4015"/>
    <n v="803"/>
    <n v="4015"/>
    <n v="200.75"/>
    <n v="4.1666666666666664E-2"/>
    <x v="6"/>
  </r>
  <r>
    <d v="2024-09-11T00:00:00"/>
    <x v="5"/>
    <x v="0"/>
    <x v="0"/>
    <n v="2830"/>
    <n v="1.25"/>
    <n v="1.05"/>
    <n v="3537.5"/>
    <n v="2971.5"/>
    <n v="566"/>
    <n v="2830"/>
    <n v="141.5"/>
    <n v="0.04"/>
    <x v="2"/>
  </r>
  <r>
    <d v="2024-10-20T00:00:00"/>
    <x v="0"/>
    <x v="0"/>
    <x v="2"/>
    <n v="2859"/>
    <n v="1.2"/>
    <n v="1"/>
    <n v="3430.7999999999902"/>
    <n v="2859"/>
    <n v="571.79999999999905"/>
    <n v="2859"/>
    <n v="142.95000000000002"/>
    <n v="4.1666666666666789E-2"/>
    <x v="9"/>
  </r>
  <r>
    <d v="2024-10-06T00:00:00"/>
    <x v="6"/>
    <x v="2"/>
    <x v="1"/>
    <n v="5341"/>
    <n v="0.9"/>
    <n v="0.7"/>
    <n v="4806.8999999999996"/>
    <n v="3738.7"/>
    <n v="1068.2"/>
    <n v="5341"/>
    <n v="267.05"/>
    <n v="5.5555555555555559E-2"/>
    <x v="9"/>
  </r>
  <r>
    <d v="2024-11-20T00:00:00"/>
    <x v="11"/>
    <x v="0"/>
    <x v="1"/>
    <n v="4106"/>
    <n v="0.9"/>
    <n v="0.7"/>
    <n v="3695.4"/>
    <n v="2874.2"/>
    <n v="821.2"/>
    <n v="4106"/>
    <n v="205.3"/>
    <n v="5.5555555555555559E-2"/>
    <x v="8"/>
  </r>
  <r>
    <d v="2024-04-07T00:00:00"/>
    <x v="4"/>
    <x v="3"/>
    <x v="2"/>
    <n v="776"/>
    <n v="1.2"/>
    <n v="1"/>
    <n v="931.19999999999902"/>
    <n v="776"/>
    <n v="155.19999999999899"/>
    <n v="776"/>
    <n v="38.800000000000004"/>
    <n v="4.1666666666666713E-2"/>
    <x v="0"/>
  </r>
  <r>
    <d v="2024-07-16T00:00:00"/>
    <x v="8"/>
    <x v="3"/>
    <x v="0"/>
    <n v="560"/>
    <n v="1.25"/>
    <n v="1.05"/>
    <n v="700"/>
    <n v="588"/>
    <n v="112"/>
    <n v="560"/>
    <n v="28"/>
    <n v="0.04"/>
    <x v="4"/>
  </r>
  <r>
    <d v="2024-08-27T00:00:00"/>
    <x v="0"/>
    <x v="2"/>
    <x v="2"/>
    <n v="3890"/>
    <n v="1.2"/>
    <n v="1"/>
    <n v="4668"/>
    <n v="3890"/>
    <n v="778"/>
    <n v="3890"/>
    <n v="194.5"/>
    <n v="4.1666666666666664E-2"/>
    <x v="7"/>
  </r>
  <r>
    <d v="2024-05-23T00:00:00"/>
    <x v="10"/>
    <x v="2"/>
    <x v="2"/>
    <n v="2413"/>
    <n v="1.2"/>
    <n v="1"/>
    <n v="2895.6"/>
    <n v="2413"/>
    <n v="482.599999999999"/>
    <n v="2413"/>
    <n v="120.65"/>
    <n v="4.1666666666666671E-2"/>
    <x v="6"/>
  </r>
  <r>
    <d v="2024-04-06T00:00:00"/>
    <x v="0"/>
    <x v="2"/>
    <x v="0"/>
    <n v="4427"/>
    <n v="1.25"/>
    <n v="1.05"/>
    <n v="5533.75"/>
    <n v="4648.3500000000004"/>
    <n v="885.39999999999895"/>
    <n v="4427"/>
    <n v="221.35000000000002"/>
    <n v="0.04"/>
    <x v="0"/>
  </r>
  <r>
    <d v="2024-07-19T00:00:00"/>
    <x v="13"/>
    <x v="1"/>
    <x v="0"/>
    <n v="5930"/>
    <n v="1.25"/>
    <n v="1.05"/>
    <n v="7412.5"/>
    <n v="6226.5"/>
    <n v="1186"/>
    <n v="5930"/>
    <n v="296.5"/>
    <n v="0.04"/>
    <x v="4"/>
  </r>
  <r>
    <d v="2024-05-03T00:00:00"/>
    <x v="10"/>
    <x v="0"/>
    <x v="1"/>
    <n v="3091"/>
    <n v="0.9"/>
    <n v="0.7"/>
    <n v="2781.9"/>
    <n v="2163.6999999999998"/>
    <n v="618.20000000000005"/>
    <n v="3091"/>
    <n v="154.55000000000001"/>
    <n v="5.5555555555555559E-2"/>
    <x v="6"/>
  </r>
  <r>
    <d v="2024-07-05T00:00:00"/>
    <x v="13"/>
    <x v="2"/>
    <x v="2"/>
    <n v="1066"/>
    <n v="1.2"/>
    <n v="1"/>
    <n v="1279.2"/>
    <n v="1066"/>
    <n v="213.2"/>
    <n v="1066"/>
    <n v="53.300000000000004"/>
    <n v="4.1666666666666671E-2"/>
    <x v="4"/>
  </r>
  <r>
    <d v="2024-11-21T00:00:00"/>
    <x v="9"/>
    <x v="4"/>
    <x v="2"/>
    <n v="4435"/>
    <n v="1.2"/>
    <n v="1"/>
    <n v="5322"/>
    <n v="4435"/>
    <n v="887"/>
    <n v="4435"/>
    <n v="221.75"/>
    <n v="4.1666666666666664E-2"/>
    <x v="8"/>
  </r>
  <r>
    <d v="2024-12-14T00:00:00"/>
    <x v="1"/>
    <x v="4"/>
    <x v="1"/>
    <n v="2071"/>
    <n v="0.9"/>
    <n v="0.7"/>
    <n v="1863.9"/>
    <n v="1449.69999999999"/>
    <n v="414.2"/>
    <n v="2071"/>
    <n v="103.55000000000001"/>
    <n v="5.5555555555555559E-2"/>
    <x v="1"/>
  </r>
  <r>
    <d v="2024-09-15T00:00:00"/>
    <x v="13"/>
    <x v="3"/>
    <x v="2"/>
    <n v="5217"/>
    <n v="1.2"/>
    <n v="1"/>
    <n v="6260.4"/>
    <n v="5217"/>
    <n v="1043.3999999999901"/>
    <n v="5217"/>
    <n v="260.85000000000002"/>
    <n v="4.1666666666666671E-2"/>
    <x v="2"/>
  </r>
  <r>
    <d v="2024-05-27T00:00:00"/>
    <x v="10"/>
    <x v="0"/>
    <x v="2"/>
    <n v="1700"/>
    <n v="1.2"/>
    <n v="1"/>
    <n v="2040"/>
    <n v="1700"/>
    <n v="340"/>
    <n v="1700"/>
    <n v="85"/>
    <n v="4.1666666666666664E-2"/>
    <x v="6"/>
  </r>
  <r>
    <d v="2024-09-08T00:00:00"/>
    <x v="9"/>
    <x v="2"/>
    <x v="0"/>
    <n v="4909"/>
    <n v="1.25"/>
    <n v="1.05"/>
    <n v="6136.25"/>
    <n v="5154.45"/>
    <n v="981.8"/>
    <n v="4909"/>
    <n v="245.45000000000002"/>
    <n v="0.04"/>
    <x v="2"/>
  </r>
  <r>
    <d v="2024-12-11T00:00:00"/>
    <x v="13"/>
    <x v="4"/>
    <x v="0"/>
    <n v="3354"/>
    <n v="1.25"/>
    <n v="1.05"/>
    <n v="4192.5"/>
    <n v="3521.7"/>
    <n v="670.79999999999905"/>
    <n v="3354"/>
    <n v="167.70000000000002"/>
    <n v="0.04"/>
    <x v="1"/>
  </r>
  <r>
    <d v="2024-05-26T00:00:00"/>
    <x v="4"/>
    <x v="0"/>
    <x v="0"/>
    <n v="3395"/>
    <n v="1.25"/>
    <n v="1.05"/>
    <n v="4243.75"/>
    <n v="3564.75"/>
    <n v="679"/>
    <n v="3395"/>
    <n v="169.75"/>
    <n v="0.04"/>
    <x v="6"/>
  </r>
  <r>
    <d v="2024-05-27T00:00:00"/>
    <x v="0"/>
    <x v="3"/>
    <x v="2"/>
    <n v="1736"/>
    <n v="1.2"/>
    <n v="1"/>
    <n v="2083.1999999999998"/>
    <n v="1736"/>
    <n v="347.19999999999902"/>
    <n v="1736"/>
    <n v="86.800000000000011"/>
    <n v="4.1666666666666678E-2"/>
    <x v="6"/>
  </r>
  <r>
    <d v="2024-12-17T00:00:00"/>
    <x v="1"/>
    <x v="1"/>
    <x v="2"/>
    <n v="636"/>
    <n v="1.2"/>
    <n v="1"/>
    <n v="763.19999999999902"/>
    <n v="636"/>
    <n v="127.19999999999899"/>
    <n v="636"/>
    <n v="31.8"/>
    <n v="4.166666666666672E-2"/>
    <x v="1"/>
  </r>
  <r>
    <d v="2024-07-17T00:00:00"/>
    <x v="13"/>
    <x v="0"/>
    <x v="1"/>
    <n v="1529"/>
    <n v="0.9"/>
    <n v="0.7"/>
    <n v="1376.1"/>
    <n v="1070.3"/>
    <n v="305.8"/>
    <n v="1529"/>
    <n v="76.45"/>
    <n v="5.5555555555555559E-2"/>
    <x v="4"/>
  </r>
  <r>
    <d v="2024-11-03T00:00:00"/>
    <x v="9"/>
    <x v="0"/>
    <x v="0"/>
    <n v="2656"/>
    <n v="1.25"/>
    <n v="1.05"/>
    <n v="3320"/>
    <n v="2788.8"/>
    <n v="531.19999999999902"/>
    <n v="2656"/>
    <n v="132.80000000000001"/>
    <n v="0.04"/>
    <x v="8"/>
  </r>
  <r>
    <d v="2024-05-07T00:00:00"/>
    <x v="3"/>
    <x v="1"/>
    <x v="2"/>
    <n v="3094"/>
    <n v="1.2"/>
    <n v="1"/>
    <n v="3712.7999999999902"/>
    <n v="3094"/>
    <n v="618.79999999999905"/>
    <n v="3094"/>
    <n v="154.70000000000002"/>
    <n v="4.1666666666666782E-2"/>
    <x v="6"/>
  </r>
  <r>
    <d v="2024-02-08T00:00:00"/>
    <x v="6"/>
    <x v="0"/>
    <x v="2"/>
    <n v="1161"/>
    <n v="1.2"/>
    <n v="1"/>
    <n v="1393.2"/>
    <n v="1161"/>
    <n v="232.2"/>
    <n v="1161"/>
    <n v="58.050000000000004"/>
    <n v="4.1666666666666671E-2"/>
    <x v="11"/>
  </r>
  <r>
    <d v="2024-12-03T00:00:00"/>
    <x v="7"/>
    <x v="3"/>
    <x v="2"/>
    <n v="2972"/>
    <n v="1.2"/>
    <n v="1"/>
    <n v="3566.4"/>
    <n v="2972"/>
    <n v="594.4"/>
    <n v="2972"/>
    <n v="148.6"/>
    <n v="4.1666666666666664E-2"/>
    <x v="1"/>
  </r>
  <r>
    <d v="2024-12-25T00:00:00"/>
    <x v="11"/>
    <x v="3"/>
    <x v="2"/>
    <n v="3177"/>
    <n v="1.2"/>
    <n v="1"/>
    <n v="3812.3999999999901"/>
    <n v="3177"/>
    <n v="635.39999999999895"/>
    <n v="3177"/>
    <n v="158.85000000000002"/>
    <n v="4.1666666666666782E-2"/>
    <x v="1"/>
  </r>
  <r>
    <d v="2024-05-08T00:00:00"/>
    <x v="7"/>
    <x v="1"/>
    <x v="0"/>
    <n v="2808"/>
    <n v="1.25"/>
    <n v="1.05"/>
    <n v="3510"/>
    <n v="2948.4"/>
    <n v="561.599999999999"/>
    <n v="2808"/>
    <n v="140.4"/>
    <n v="0.04"/>
    <x v="6"/>
  </r>
  <r>
    <d v="2024-09-23T00:00:00"/>
    <x v="3"/>
    <x v="2"/>
    <x v="2"/>
    <n v="586"/>
    <n v="1.2"/>
    <n v="1"/>
    <n v="703.19999999999902"/>
    <n v="586"/>
    <n v="117.19999999999899"/>
    <n v="586"/>
    <n v="29.3"/>
    <n v="4.1666666666666727E-2"/>
    <x v="2"/>
  </r>
  <r>
    <d v="2024-05-30T00:00:00"/>
    <x v="7"/>
    <x v="4"/>
    <x v="0"/>
    <n v="3012"/>
    <n v="1.25"/>
    <n v="1.05"/>
    <n v="3765"/>
    <n v="3162.6"/>
    <n v="602.4"/>
    <n v="3012"/>
    <n v="150.6"/>
    <n v="0.04"/>
    <x v="6"/>
  </r>
  <r>
    <d v="2024-10-24T00:00:00"/>
    <x v="3"/>
    <x v="2"/>
    <x v="0"/>
    <n v="3442"/>
    <n v="1.25"/>
    <n v="1.05"/>
    <n v="4302.5"/>
    <n v="3614.1"/>
    <n v="688.39999999999895"/>
    <n v="3442"/>
    <n v="172.10000000000002"/>
    <n v="4.0000000000000008E-2"/>
    <x v="9"/>
  </r>
  <r>
    <d v="2024-04-08T00:00:00"/>
    <x v="5"/>
    <x v="0"/>
    <x v="0"/>
    <n v="3273"/>
    <n v="1.25"/>
    <n v="1.05"/>
    <n v="4091.25"/>
    <n v="3436.65"/>
    <n v="654.599999999999"/>
    <n v="3273"/>
    <n v="163.65"/>
    <n v="0.04"/>
    <x v="0"/>
  </r>
  <r>
    <d v="2024-09-19T00:00:00"/>
    <x v="3"/>
    <x v="4"/>
    <x v="2"/>
    <n v="3004"/>
    <n v="1.2"/>
    <n v="1"/>
    <n v="3604.7999999999902"/>
    <n v="3004"/>
    <n v="600.79999999999905"/>
    <n v="3004"/>
    <n v="150.20000000000002"/>
    <n v="4.1666666666666782E-2"/>
    <x v="2"/>
  </r>
  <r>
    <d v="2024-09-08T00:00:00"/>
    <x v="3"/>
    <x v="1"/>
    <x v="1"/>
    <n v="5904"/>
    <n v="0.9"/>
    <n v="0.7"/>
    <n v="5313.6"/>
    <n v="4132.8"/>
    <n v="1180.8"/>
    <n v="5904"/>
    <n v="295.2"/>
    <n v="5.5555555555555552E-2"/>
    <x v="2"/>
  </r>
  <r>
    <d v="2024-05-23T00:00:00"/>
    <x v="12"/>
    <x v="1"/>
    <x v="2"/>
    <n v="3810"/>
    <n v="1.2"/>
    <n v="1"/>
    <n v="4572"/>
    <n v="3810"/>
    <n v="762"/>
    <n v="3810"/>
    <n v="190.5"/>
    <n v="4.1666666666666664E-2"/>
    <x v="6"/>
  </r>
  <r>
    <d v="2024-12-11T00:00:00"/>
    <x v="3"/>
    <x v="4"/>
    <x v="2"/>
    <n v="2200"/>
    <n v="1.2"/>
    <n v="1"/>
    <n v="2640"/>
    <n v="2200"/>
    <n v="440"/>
    <n v="2200"/>
    <n v="110"/>
    <n v="4.1666666666666664E-2"/>
    <x v="1"/>
  </r>
  <r>
    <d v="2024-04-21T00:00:00"/>
    <x v="4"/>
    <x v="3"/>
    <x v="2"/>
    <n v="4170"/>
    <n v="1.2"/>
    <n v="1"/>
    <n v="5004"/>
    <n v="4170"/>
    <n v="834"/>
    <n v="4170"/>
    <n v="208.5"/>
    <n v="4.1666666666666664E-2"/>
    <x v="0"/>
  </r>
  <r>
    <d v="2024-02-29T00:00:00"/>
    <x v="6"/>
    <x v="4"/>
    <x v="2"/>
    <n v="3200"/>
    <n v="1.2"/>
    <n v="1"/>
    <n v="3840"/>
    <n v="3200"/>
    <n v="640"/>
    <n v="3200"/>
    <n v="160"/>
    <n v="4.1666666666666664E-2"/>
    <x v="11"/>
  </r>
  <r>
    <d v="2024-01-02T00:00:00"/>
    <x v="8"/>
    <x v="0"/>
    <x v="0"/>
    <n v="4129"/>
    <n v="1.25"/>
    <n v="1.05"/>
    <n v="5161.25"/>
    <n v="4335.45"/>
    <n v="825.8"/>
    <n v="4129"/>
    <n v="206.45000000000002"/>
    <n v="0.04"/>
    <x v="5"/>
  </r>
  <r>
    <d v="2024-10-30T00:00:00"/>
    <x v="13"/>
    <x v="3"/>
    <x v="0"/>
    <n v="5090"/>
    <n v="1.25"/>
    <n v="1.05"/>
    <n v="6362.5"/>
    <n v="5344.5"/>
    <n v="1018"/>
    <n v="5090"/>
    <n v="254.5"/>
    <n v="0.04"/>
    <x v="9"/>
  </r>
  <r>
    <d v="2024-09-10T00:00:00"/>
    <x v="11"/>
    <x v="1"/>
    <x v="0"/>
    <n v="2147"/>
    <n v="1.25"/>
    <n v="1.05"/>
    <n v="2683.75"/>
    <n v="2254.35"/>
    <n v="429.4"/>
    <n v="2147"/>
    <n v="107.35000000000001"/>
    <n v="0.04"/>
    <x v="2"/>
  </r>
  <r>
    <d v="2024-05-19T00:00:00"/>
    <x v="1"/>
    <x v="4"/>
    <x v="0"/>
    <n v="5664"/>
    <n v="1.25"/>
    <n v="1.05"/>
    <n v="7080"/>
    <n v="5947.2"/>
    <n v="1132.8"/>
    <n v="5664"/>
    <n v="283.2"/>
    <n v="0.04"/>
    <x v="6"/>
  </r>
  <r>
    <d v="2024-02-06T00:00:00"/>
    <x v="6"/>
    <x v="2"/>
    <x v="0"/>
    <n v="3818"/>
    <n v="1.25"/>
    <n v="1.05"/>
    <n v="4772.5"/>
    <n v="4008.9"/>
    <n v="763.599999999999"/>
    <n v="3818"/>
    <n v="190.9"/>
    <n v="0.04"/>
    <x v="11"/>
  </r>
  <r>
    <d v="2024-06-08T00:00:00"/>
    <x v="10"/>
    <x v="2"/>
    <x v="0"/>
    <n v="4187"/>
    <n v="1.25"/>
    <n v="1.05"/>
    <n v="5233.75"/>
    <n v="4396.3500000000004"/>
    <n v="837.39999999999895"/>
    <n v="4187"/>
    <n v="209.35000000000002"/>
    <n v="4.0000000000000008E-2"/>
    <x v="10"/>
  </r>
  <r>
    <d v="2024-01-09T00:00:00"/>
    <x v="8"/>
    <x v="0"/>
    <x v="0"/>
    <n v="1096"/>
    <n v="1.25"/>
    <n v="1.05"/>
    <n v="1370"/>
    <n v="1150.8"/>
    <n v="219.2"/>
    <n v="1096"/>
    <n v="54.800000000000004"/>
    <n v="0.04"/>
    <x v="5"/>
  </r>
  <r>
    <d v="2024-08-20T00:00:00"/>
    <x v="5"/>
    <x v="2"/>
    <x v="1"/>
    <n v="5045"/>
    <n v="0.9"/>
    <n v="0.7"/>
    <n v="4540.5"/>
    <n v="3531.5"/>
    <n v="1009"/>
    <n v="5045"/>
    <n v="252.25"/>
    <n v="5.5555555555555552E-2"/>
    <x v="7"/>
  </r>
  <r>
    <d v="2024-04-08T00:00:00"/>
    <x v="5"/>
    <x v="4"/>
    <x v="0"/>
    <n v="984"/>
    <n v="1.25"/>
    <n v="1.05"/>
    <n v="1230"/>
    <n v="1033.2"/>
    <n v="196.79999999999899"/>
    <n v="984"/>
    <n v="49.2"/>
    <n v="0.04"/>
    <x v="0"/>
  </r>
  <r>
    <d v="2024-05-26T00:00:00"/>
    <x v="2"/>
    <x v="4"/>
    <x v="0"/>
    <n v="1145"/>
    <n v="1.25"/>
    <n v="1.05"/>
    <n v="1431.25"/>
    <n v="1202.25"/>
    <n v="229"/>
    <n v="1145"/>
    <n v="57.25"/>
    <n v="0.04"/>
    <x v="6"/>
  </r>
  <r>
    <d v="2024-10-30T00:00:00"/>
    <x v="0"/>
    <x v="2"/>
    <x v="0"/>
    <n v="3589"/>
    <n v="1.25"/>
    <n v="1.05"/>
    <n v="4486.25"/>
    <n v="3768.45"/>
    <n v="717.79999999999905"/>
    <n v="3589"/>
    <n v="179.45000000000002"/>
    <n v="0.04"/>
    <x v="9"/>
  </r>
  <r>
    <d v="2024-07-26T00:00:00"/>
    <x v="3"/>
    <x v="4"/>
    <x v="2"/>
    <n v="5257"/>
    <n v="1.2"/>
    <n v="1"/>
    <n v="6308.4"/>
    <n v="5257"/>
    <n v="1051.3999999999901"/>
    <n v="5257"/>
    <n v="262.85000000000002"/>
    <n v="4.1666666666666671E-2"/>
    <x v="4"/>
  </r>
  <r>
    <d v="2024-05-10T00:00:00"/>
    <x v="6"/>
    <x v="0"/>
    <x v="0"/>
    <n v="5353"/>
    <n v="1.25"/>
    <n v="1.05"/>
    <n v="6691.25"/>
    <n v="5620.65"/>
    <n v="1070.5999999999899"/>
    <n v="5353"/>
    <n v="267.65000000000003"/>
    <n v="4.0000000000000008E-2"/>
    <x v="6"/>
  </r>
  <r>
    <d v="2024-05-31T00:00:00"/>
    <x v="9"/>
    <x v="3"/>
    <x v="0"/>
    <n v="4884"/>
    <n v="1.25"/>
    <n v="1.05"/>
    <n v="6105"/>
    <n v="5128.2"/>
    <n v="976.8"/>
    <n v="4884"/>
    <n v="244.20000000000002"/>
    <n v="0.04"/>
    <x v="6"/>
  </r>
  <r>
    <d v="2024-02-23T00:00:00"/>
    <x v="12"/>
    <x v="0"/>
    <x v="2"/>
    <n v="1220"/>
    <n v="1.2"/>
    <n v="1"/>
    <n v="1464"/>
    <n v="1220"/>
    <n v="244"/>
    <n v="1220"/>
    <n v="61"/>
    <n v="4.1666666666666664E-2"/>
    <x v="11"/>
  </r>
  <r>
    <d v="2024-04-29T00:00:00"/>
    <x v="7"/>
    <x v="0"/>
    <x v="0"/>
    <n v="5233"/>
    <n v="1.25"/>
    <n v="1.05"/>
    <n v="6541.25"/>
    <n v="5494.65"/>
    <n v="1046.5999999999899"/>
    <n v="5233"/>
    <n v="261.65000000000003"/>
    <n v="4.0000000000000008E-2"/>
    <x v="0"/>
  </r>
  <r>
    <d v="2024-06-09T00:00:00"/>
    <x v="10"/>
    <x v="4"/>
    <x v="0"/>
    <n v="998"/>
    <n v="1.25"/>
    <n v="1.05"/>
    <n v="1247.5"/>
    <n v="1047.9000000000001"/>
    <n v="199.599999999999"/>
    <n v="998"/>
    <n v="49.900000000000006"/>
    <n v="4.0000000000000008E-2"/>
    <x v="10"/>
  </r>
  <r>
    <d v="2024-04-25T00:00:00"/>
    <x v="5"/>
    <x v="3"/>
    <x v="0"/>
    <n v="5229"/>
    <n v="1.25"/>
    <n v="1.05"/>
    <n v="6536.25"/>
    <n v="5490.45"/>
    <n v="1045.8"/>
    <n v="5229"/>
    <n v="261.45"/>
    <n v="0.04"/>
    <x v="0"/>
  </r>
  <r>
    <d v="2024-03-15T00:00:00"/>
    <x v="11"/>
    <x v="4"/>
    <x v="0"/>
    <n v="2173"/>
    <n v="1.25"/>
    <n v="1.05"/>
    <n v="2716.25"/>
    <n v="2281.65"/>
    <n v="434.599999999999"/>
    <n v="2173"/>
    <n v="108.65"/>
    <n v="0.04"/>
    <x v="3"/>
  </r>
  <r>
    <d v="2024-04-22T00:00:00"/>
    <x v="5"/>
    <x v="1"/>
    <x v="0"/>
    <n v="3567"/>
    <n v="1.25"/>
    <n v="1.05"/>
    <n v="4458.75"/>
    <n v="3745.35"/>
    <n v="713.39999999999895"/>
    <n v="3567"/>
    <n v="178.35000000000002"/>
    <n v="4.0000000000000008E-2"/>
    <x v="0"/>
  </r>
  <r>
    <d v="2024-04-13T00:00:00"/>
    <x v="1"/>
    <x v="4"/>
    <x v="0"/>
    <n v="614"/>
    <n v="1.25"/>
    <n v="1.05"/>
    <n v="767.5"/>
    <n v="644.70000000000005"/>
    <n v="122.799999999999"/>
    <n v="614"/>
    <n v="30.700000000000003"/>
    <n v="0.04"/>
    <x v="0"/>
  </r>
  <r>
    <d v="2024-12-05T00:00:00"/>
    <x v="13"/>
    <x v="4"/>
    <x v="2"/>
    <n v="3479"/>
    <n v="1.2"/>
    <n v="1"/>
    <n v="4174.8"/>
    <n v="3479"/>
    <n v="695.8"/>
    <n v="3479"/>
    <n v="173.95000000000002"/>
    <n v="4.1666666666666671E-2"/>
    <x v="1"/>
  </r>
  <r>
    <d v="2024-09-10T00:00:00"/>
    <x v="5"/>
    <x v="4"/>
    <x v="2"/>
    <n v="5269"/>
    <n v="1.2"/>
    <n v="1"/>
    <n v="6322.8"/>
    <n v="5269"/>
    <n v="1053.8"/>
    <n v="5269"/>
    <n v="263.45"/>
    <n v="4.1666666666666664E-2"/>
    <x v="2"/>
  </r>
  <r>
    <d v="2024-08-14T00:00:00"/>
    <x v="1"/>
    <x v="3"/>
    <x v="2"/>
    <n v="2236"/>
    <n v="1.2"/>
    <n v="1"/>
    <n v="2683.2"/>
    <n v="2236"/>
    <n v="447.19999999999902"/>
    <n v="2236"/>
    <n v="111.80000000000001"/>
    <n v="4.1666666666666671E-2"/>
    <x v="7"/>
  </r>
  <r>
    <d v="2024-04-21T00:00:00"/>
    <x v="6"/>
    <x v="4"/>
    <x v="0"/>
    <n v="5853"/>
    <n v="1.25"/>
    <n v="1.05"/>
    <n v="7316.25"/>
    <n v="6145.65"/>
    <n v="1170.5999999999899"/>
    <n v="5853"/>
    <n v="292.65000000000003"/>
    <n v="4.0000000000000008E-2"/>
    <x v="0"/>
  </r>
  <r>
    <d v="2024-04-08T00:00:00"/>
    <x v="6"/>
    <x v="3"/>
    <x v="1"/>
    <n v="4111"/>
    <n v="0.9"/>
    <n v="0.7"/>
    <n v="3699.9"/>
    <n v="2877.7"/>
    <n v="822.2"/>
    <n v="4111"/>
    <n v="205.55"/>
    <n v="5.5555555555555559E-2"/>
    <x v="0"/>
  </r>
  <r>
    <d v="2024-06-01T00:00:00"/>
    <x v="12"/>
    <x v="2"/>
    <x v="0"/>
    <n v="2753"/>
    <n v="1.25"/>
    <n v="1.05"/>
    <n v="3441.25"/>
    <n v="2890.65"/>
    <n v="550.599999999999"/>
    <n v="2753"/>
    <n v="137.65"/>
    <n v="0.04"/>
    <x v="10"/>
  </r>
  <r>
    <d v="2024-12-14T00:00:00"/>
    <x v="0"/>
    <x v="1"/>
    <x v="0"/>
    <n v="2794"/>
    <n v="1.25"/>
    <n v="1.05"/>
    <n v="3492.5"/>
    <n v="2933.7"/>
    <n v="558.79999999999905"/>
    <n v="2794"/>
    <n v="139.70000000000002"/>
    <n v="4.0000000000000008E-2"/>
    <x v="1"/>
  </r>
  <r>
    <d v="2024-12-31T00:00:00"/>
    <x v="2"/>
    <x v="3"/>
    <x v="2"/>
    <n v="4130"/>
    <n v="1.2"/>
    <n v="1"/>
    <n v="4956"/>
    <n v="4130"/>
    <n v="826"/>
    <n v="4130"/>
    <n v="206.5"/>
    <n v="4.1666666666666664E-2"/>
    <x v="1"/>
  </r>
  <r>
    <d v="2024-12-03T00:00:00"/>
    <x v="8"/>
    <x v="2"/>
    <x v="0"/>
    <n v="646"/>
    <n v="1.25"/>
    <n v="1.05"/>
    <n v="807.5"/>
    <n v="678.3"/>
    <n v="129.19999999999899"/>
    <n v="646"/>
    <n v="32.300000000000004"/>
    <n v="4.0000000000000008E-2"/>
    <x v="1"/>
  </r>
  <r>
    <d v="2024-07-12T00:00:00"/>
    <x v="5"/>
    <x v="3"/>
    <x v="0"/>
    <n v="4482"/>
    <n v="1.25"/>
    <n v="1.05"/>
    <n v="5602.5"/>
    <n v="4706.1000000000004"/>
    <n v="896.39999999999895"/>
    <n v="4482"/>
    <n v="224.10000000000002"/>
    <n v="0.04"/>
    <x v="4"/>
  </r>
  <r>
    <d v="2024-11-05T00:00:00"/>
    <x v="11"/>
    <x v="3"/>
    <x v="2"/>
    <n v="3953"/>
    <n v="1.2"/>
    <n v="1"/>
    <n v="4743.5999999999904"/>
    <n v="3953"/>
    <n v="790.599999999999"/>
    <n v="3953"/>
    <n v="197.65"/>
    <n v="4.1666666666666755E-2"/>
    <x v="8"/>
  </r>
  <r>
    <d v="2024-06-11T00:00:00"/>
    <x v="5"/>
    <x v="1"/>
    <x v="1"/>
    <n v="5007"/>
    <n v="0.9"/>
    <n v="0.7"/>
    <n v="4506.3"/>
    <n v="3504.8999999999901"/>
    <n v="1001.4"/>
    <n v="5007"/>
    <n v="250.35000000000002"/>
    <n v="5.5555555555555559E-2"/>
    <x v="10"/>
  </r>
  <r>
    <d v="2024-07-26T00:00:00"/>
    <x v="2"/>
    <x v="0"/>
    <x v="0"/>
    <n v="2910"/>
    <n v="1.25"/>
    <n v="1.05"/>
    <n v="3637.5"/>
    <n v="3055.5"/>
    <n v="582"/>
    <n v="2910"/>
    <n v="145.5"/>
    <n v="0.04"/>
    <x v="4"/>
  </r>
  <r>
    <d v="2024-06-17T00:00:00"/>
    <x v="14"/>
    <x v="0"/>
    <x v="2"/>
    <n v="636"/>
    <n v="1.2"/>
    <n v="1"/>
    <n v="763.19999999999902"/>
    <n v="636"/>
    <n v="127.19999999999899"/>
    <n v="636"/>
    <n v="31.8"/>
    <n v="4.166666666666672E-2"/>
    <x v="10"/>
  </r>
  <r>
    <d v="2024-06-09T00:00:00"/>
    <x v="11"/>
    <x v="3"/>
    <x v="1"/>
    <n v="3860"/>
    <n v="0.9"/>
    <n v="0.7"/>
    <n v="3474"/>
    <n v="2702"/>
    <n v="772"/>
    <n v="3860"/>
    <n v="193"/>
    <n v="5.5555555555555552E-2"/>
    <x v="10"/>
  </r>
  <r>
    <d v="2024-03-08T00:00:00"/>
    <x v="4"/>
    <x v="4"/>
    <x v="0"/>
    <n v="3505"/>
    <n v="1.25"/>
    <n v="1.05"/>
    <n v="4381.25"/>
    <n v="3680.25"/>
    <n v="701"/>
    <n v="3505"/>
    <n v="175.25"/>
    <n v="0.04"/>
    <x v="3"/>
  </r>
  <r>
    <d v="2024-10-15T00:00:00"/>
    <x v="3"/>
    <x v="2"/>
    <x v="0"/>
    <n v="4052"/>
    <n v="1.25"/>
    <n v="1.05"/>
    <n v="5065"/>
    <n v="4254.6000000000004"/>
    <n v="810.39999999999895"/>
    <n v="4052"/>
    <n v="202.60000000000002"/>
    <n v="4.0000000000000008E-2"/>
    <x v="9"/>
  </r>
  <r>
    <d v="2024-10-03T00:00:00"/>
    <x v="8"/>
    <x v="4"/>
    <x v="0"/>
    <n v="518"/>
    <n v="1.25"/>
    <n v="1.05"/>
    <n v="647.5"/>
    <n v="543.9"/>
    <n v="103.6"/>
    <n v="518"/>
    <n v="25.900000000000002"/>
    <n v="0.04"/>
    <x v="9"/>
  </r>
  <r>
    <d v="2024-10-30T00:00:00"/>
    <x v="4"/>
    <x v="4"/>
    <x v="0"/>
    <n v="2742"/>
    <n v="1.25"/>
    <n v="1.05"/>
    <n v="3427.5"/>
    <n v="2879.1"/>
    <n v="548.4"/>
    <n v="2742"/>
    <n v="137.1"/>
    <n v="0.04"/>
    <x v="9"/>
  </r>
  <r>
    <d v="2024-05-14T00:00:00"/>
    <x v="14"/>
    <x v="3"/>
    <x v="0"/>
    <n v="5597"/>
    <n v="1.25"/>
    <n v="1.05"/>
    <n v="6996.25"/>
    <n v="5876.85"/>
    <n v="1119.3999999999901"/>
    <n v="5597"/>
    <n v="279.85000000000002"/>
    <n v="0.04"/>
    <x v="6"/>
  </r>
  <r>
    <d v="2024-07-13T00:00:00"/>
    <x v="14"/>
    <x v="3"/>
    <x v="1"/>
    <n v="948"/>
    <n v="0.9"/>
    <n v="0.7"/>
    <n v="853.2"/>
    <n v="663.599999999999"/>
    <n v="189.6"/>
    <n v="948"/>
    <n v="47.400000000000006"/>
    <n v="5.5555555555555559E-2"/>
    <x v="4"/>
  </r>
  <r>
    <d v="2024-05-07T00:00:00"/>
    <x v="2"/>
    <x v="3"/>
    <x v="2"/>
    <n v="2448"/>
    <n v="1.2"/>
    <n v="1"/>
    <n v="2937.6"/>
    <n v="2448"/>
    <n v="489.599999999999"/>
    <n v="2448"/>
    <n v="122.4"/>
    <n v="4.1666666666666671E-2"/>
    <x v="6"/>
  </r>
  <r>
    <d v="2024-02-02T00:00:00"/>
    <x v="5"/>
    <x v="3"/>
    <x v="2"/>
    <n v="1445"/>
    <n v="1.2"/>
    <n v="1"/>
    <n v="1734"/>
    <n v="1445"/>
    <n v="289"/>
    <n v="1445"/>
    <n v="72.25"/>
    <n v="4.1666666666666664E-2"/>
    <x v="11"/>
  </r>
  <r>
    <d v="2024-06-24T00:00:00"/>
    <x v="2"/>
    <x v="0"/>
    <x v="0"/>
    <n v="5973"/>
    <n v="1.25"/>
    <n v="1.05"/>
    <n v="7466.25"/>
    <n v="6271.65"/>
    <n v="1194.5999999999899"/>
    <n v="5973"/>
    <n v="298.65000000000003"/>
    <n v="4.0000000000000008E-2"/>
    <x v="10"/>
  </r>
  <r>
    <d v="2024-01-22T00:00:00"/>
    <x v="2"/>
    <x v="3"/>
    <x v="2"/>
    <n v="4736"/>
    <n v="1.2"/>
    <n v="1"/>
    <n v="5683.2"/>
    <n v="4736"/>
    <n v="947.19999999999902"/>
    <n v="4736"/>
    <n v="236.8"/>
    <n v="4.1666666666666671E-2"/>
    <x v="5"/>
  </r>
  <r>
    <d v="2024-08-25T00:00:00"/>
    <x v="14"/>
    <x v="0"/>
    <x v="1"/>
    <n v="2420"/>
    <n v="0.9"/>
    <n v="0.7"/>
    <n v="2178"/>
    <n v="1694"/>
    <n v="484"/>
    <n v="2420"/>
    <n v="121"/>
    <n v="5.5555555555555552E-2"/>
    <x v="7"/>
  </r>
  <r>
    <d v="2024-06-06T00:00:00"/>
    <x v="8"/>
    <x v="0"/>
    <x v="2"/>
    <n v="3477"/>
    <n v="1.2"/>
    <n v="1"/>
    <n v="4172.3999999999996"/>
    <n v="3477"/>
    <n v="695.39999999999895"/>
    <n v="3477"/>
    <n v="173.85000000000002"/>
    <n v="4.1666666666666678E-2"/>
    <x v="10"/>
  </r>
  <r>
    <d v="2024-02-07T00:00:00"/>
    <x v="4"/>
    <x v="3"/>
    <x v="0"/>
    <n v="4688"/>
    <n v="1.25"/>
    <n v="1.05"/>
    <n v="5860"/>
    <n v="4922.3999999999996"/>
    <n v="937.599999999999"/>
    <n v="4688"/>
    <n v="234.4"/>
    <n v="0.04"/>
    <x v="11"/>
  </r>
  <r>
    <d v="2024-08-17T00:00:00"/>
    <x v="7"/>
    <x v="1"/>
    <x v="2"/>
    <n v="4515"/>
    <n v="1.2"/>
    <n v="1"/>
    <n v="5418"/>
    <n v="4515"/>
    <n v="903"/>
    <n v="4515"/>
    <n v="225.75"/>
    <n v="4.1666666666666664E-2"/>
    <x v="7"/>
  </r>
  <r>
    <d v="2024-12-30T00:00:00"/>
    <x v="5"/>
    <x v="2"/>
    <x v="0"/>
    <n v="738"/>
    <n v="1.25"/>
    <n v="1.05"/>
    <n v="922.5"/>
    <n v="774.9"/>
    <n v="147.6"/>
    <n v="738"/>
    <n v="36.9"/>
    <n v="0.04"/>
    <x v="1"/>
  </r>
  <r>
    <d v="2024-02-20T00:00:00"/>
    <x v="14"/>
    <x v="4"/>
    <x v="0"/>
    <n v="704"/>
    <n v="1.25"/>
    <n v="1.05"/>
    <n v="880"/>
    <n v="739.2"/>
    <n v="140.79999999999899"/>
    <n v="704"/>
    <n v="35.200000000000003"/>
    <n v="0.04"/>
    <x v="11"/>
  </r>
  <r>
    <d v="2024-09-20T00:00:00"/>
    <x v="4"/>
    <x v="0"/>
    <x v="0"/>
    <n v="3107"/>
    <n v="1.25"/>
    <n v="1.05"/>
    <n v="3883.75"/>
    <n v="3262.35"/>
    <n v="621.39999999999895"/>
    <n v="3107"/>
    <n v="155.35000000000002"/>
    <n v="4.0000000000000008E-2"/>
    <x v="2"/>
  </r>
  <r>
    <d v="2024-10-09T00:00:00"/>
    <x v="0"/>
    <x v="2"/>
    <x v="2"/>
    <n v="4840"/>
    <n v="1.2"/>
    <n v="1"/>
    <n v="5808"/>
    <n v="4840"/>
    <n v="968"/>
    <n v="4840"/>
    <n v="242"/>
    <n v="4.1666666666666664E-2"/>
    <x v="9"/>
  </r>
  <r>
    <d v="2024-01-27T00:00:00"/>
    <x v="7"/>
    <x v="1"/>
    <x v="2"/>
    <n v="5427"/>
    <n v="1.2"/>
    <n v="1"/>
    <n v="6512.4"/>
    <n v="5427"/>
    <n v="1085.3999999999901"/>
    <n v="5427"/>
    <n v="271.35000000000002"/>
    <n v="4.1666666666666671E-2"/>
    <x v="5"/>
  </r>
  <r>
    <d v="2024-08-13T00:00:00"/>
    <x v="7"/>
    <x v="4"/>
    <x v="0"/>
    <n v="3888"/>
    <n v="1.25"/>
    <n v="1.05"/>
    <n v="4860"/>
    <n v="4082.4"/>
    <n v="777.599999999999"/>
    <n v="3888"/>
    <n v="194.4"/>
    <n v="0.04"/>
    <x v="7"/>
  </r>
  <r>
    <d v="2024-10-03T00:00:00"/>
    <x v="6"/>
    <x v="4"/>
    <x v="0"/>
    <n v="3472"/>
    <n v="1.25"/>
    <n v="1.05"/>
    <n v="4340"/>
    <n v="3645.6"/>
    <n v="694.39999999999895"/>
    <n v="3472"/>
    <n v="173.60000000000002"/>
    <n v="4.0000000000000008E-2"/>
    <x v="9"/>
  </r>
  <r>
    <d v="2024-10-12T00:00:00"/>
    <x v="12"/>
    <x v="0"/>
    <x v="0"/>
    <n v="4890"/>
    <n v="1.25"/>
    <n v="1.05"/>
    <n v="6112.5"/>
    <n v="5134.5"/>
    <n v="978"/>
    <n v="4890"/>
    <n v="244.5"/>
    <n v="0.04"/>
    <x v="9"/>
  </r>
  <r>
    <d v="2024-04-06T00:00:00"/>
    <x v="5"/>
    <x v="3"/>
    <x v="0"/>
    <n v="3187"/>
    <n v="1.25"/>
    <n v="1.05"/>
    <n v="3983.75"/>
    <n v="3346.35"/>
    <n v="637.39999999999895"/>
    <n v="3187"/>
    <n v="159.35000000000002"/>
    <n v="4.0000000000000008E-2"/>
    <x v="0"/>
  </r>
  <r>
    <d v="2024-10-10T00:00:00"/>
    <x v="7"/>
    <x v="1"/>
    <x v="0"/>
    <n v="5451"/>
    <n v="1.25"/>
    <n v="1.05"/>
    <n v="6813.75"/>
    <n v="5723.55"/>
    <n v="1090.19999999999"/>
    <n v="5451"/>
    <n v="272.55"/>
    <n v="0.04"/>
    <x v="9"/>
  </r>
  <r>
    <d v="2024-11-12T00:00:00"/>
    <x v="14"/>
    <x v="0"/>
    <x v="0"/>
    <n v="4666"/>
    <n v="1.25"/>
    <n v="1.05"/>
    <n v="5832.5"/>
    <n v="4899.3"/>
    <n v="933.19999999999902"/>
    <n v="4666"/>
    <n v="233.3"/>
    <n v="0.04"/>
    <x v="8"/>
  </r>
  <r>
    <d v="2024-10-30T00:00:00"/>
    <x v="6"/>
    <x v="1"/>
    <x v="2"/>
    <n v="5888"/>
    <n v="1.2"/>
    <n v="1"/>
    <n v="7065.5999999999904"/>
    <n v="5888"/>
    <n v="1177.5999999999899"/>
    <n v="5888"/>
    <n v="294.40000000000003"/>
    <n v="4.1666666666666727E-2"/>
    <x v="9"/>
  </r>
  <r>
    <d v="2024-05-26T00:00:00"/>
    <x v="4"/>
    <x v="3"/>
    <x v="0"/>
    <n v="1848"/>
    <n v="1.25"/>
    <n v="1.05"/>
    <n v="2310"/>
    <n v="1940.4"/>
    <n v="369.599999999999"/>
    <n v="1848"/>
    <n v="92.4"/>
    <n v="0.04"/>
    <x v="6"/>
  </r>
  <r>
    <d v="2024-01-04T00:00:00"/>
    <x v="0"/>
    <x v="3"/>
    <x v="0"/>
    <n v="4900"/>
    <n v="1.25"/>
    <n v="1.05"/>
    <n v="6125"/>
    <n v="5145"/>
    <n v="980"/>
    <n v="4900"/>
    <n v="245"/>
    <n v="0.04"/>
    <x v="5"/>
  </r>
  <r>
    <d v="2024-02-04T00:00:00"/>
    <x v="1"/>
    <x v="0"/>
    <x v="0"/>
    <n v="5626"/>
    <n v="1.25"/>
    <n v="1.05"/>
    <n v="7032.5"/>
    <n v="5907.3"/>
    <n v="1125.19999999999"/>
    <n v="5626"/>
    <n v="281.3"/>
    <n v="0.04"/>
    <x v="11"/>
  </r>
  <r>
    <d v="2024-07-10T00:00:00"/>
    <x v="5"/>
    <x v="3"/>
    <x v="1"/>
    <n v="5933"/>
    <n v="0.9"/>
    <n v="0.7"/>
    <n v="5339.7"/>
    <n v="4153.0999999999904"/>
    <n v="1186.5999999999999"/>
    <n v="5933"/>
    <n v="296.65000000000003"/>
    <n v="5.5555555555555566E-2"/>
    <x v="4"/>
  </r>
  <r>
    <d v="2024-02-18T00:00:00"/>
    <x v="8"/>
    <x v="2"/>
    <x v="2"/>
    <n v="1316"/>
    <n v="1.2"/>
    <n v="1"/>
    <n v="1579.2"/>
    <n v="1316"/>
    <n v="263.2"/>
    <n v="1316"/>
    <n v="65.8"/>
    <n v="4.1666666666666664E-2"/>
    <x v="11"/>
  </r>
  <r>
    <d v="2024-01-17T00:00:00"/>
    <x v="2"/>
    <x v="4"/>
    <x v="2"/>
    <n v="5722"/>
    <n v="1.2"/>
    <n v="1"/>
    <n v="6866.4"/>
    <n v="5722"/>
    <n v="1144.3999999999901"/>
    <n v="5722"/>
    <n v="286.10000000000002"/>
    <n v="4.1666666666666671E-2"/>
    <x v="5"/>
  </r>
  <r>
    <d v="2024-06-20T00:00:00"/>
    <x v="11"/>
    <x v="0"/>
    <x v="0"/>
    <n v="1320"/>
    <n v="1.25"/>
    <n v="1.05"/>
    <n v="1650"/>
    <n v="1386"/>
    <n v="264"/>
    <n v="1320"/>
    <n v="66"/>
    <n v="0.04"/>
    <x v="10"/>
  </r>
  <r>
    <d v="2024-08-07T00:00:00"/>
    <x v="11"/>
    <x v="1"/>
    <x v="2"/>
    <n v="692"/>
    <n v="1.2"/>
    <n v="1"/>
    <n v="830.4"/>
    <n v="692"/>
    <n v="138.39999999999901"/>
    <n v="692"/>
    <n v="34.6"/>
    <n v="4.1666666666666671E-2"/>
    <x v="7"/>
  </r>
  <r>
    <d v="2024-06-06T00:00:00"/>
    <x v="4"/>
    <x v="2"/>
    <x v="0"/>
    <n v="2276"/>
    <n v="1.25"/>
    <n v="1.05"/>
    <n v="2845"/>
    <n v="2389.8000000000002"/>
    <n v="455.19999999999902"/>
    <n v="2276"/>
    <n v="113.80000000000001"/>
    <n v="0.04"/>
    <x v="10"/>
  </r>
  <r>
    <d v="2024-02-15T00:00:00"/>
    <x v="9"/>
    <x v="0"/>
    <x v="2"/>
    <n v="4145"/>
    <n v="1.2"/>
    <n v="1"/>
    <n v="4974"/>
    <n v="4145"/>
    <n v="829"/>
    <n v="4145"/>
    <n v="207.25"/>
    <n v="4.1666666666666664E-2"/>
    <x v="11"/>
  </r>
  <r>
    <d v="2024-01-06T00:00:00"/>
    <x v="9"/>
    <x v="3"/>
    <x v="1"/>
    <n v="5124"/>
    <n v="0.9"/>
    <n v="0.7"/>
    <n v="4611.6000000000004"/>
    <n v="3586.7999999999902"/>
    <n v="1024.8"/>
    <n v="5124"/>
    <n v="256.2"/>
    <n v="5.5555555555555546E-2"/>
    <x v="5"/>
  </r>
  <r>
    <d v="2024-04-08T00:00:00"/>
    <x v="4"/>
    <x v="3"/>
    <x v="2"/>
    <n v="750"/>
    <n v="1.2"/>
    <n v="1"/>
    <n v="900"/>
    <n v="750"/>
    <n v="150"/>
    <n v="750"/>
    <n v="37.5"/>
    <n v="4.1666666666666664E-2"/>
    <x v="0"/>
  </r>
  <r>
    <d v="2024-08-20T00:00:00"/>
    <x v="14"/>
    <x v="3"/>
    <x v="1"/>
    <n v="2288"/>
    <n v="0.9"/>
    <n v="0.7"/>
    <n v="2059.1999999999998"/>
    <n v="1601.6"/>
    <n v="457.6"/>
    <n v="2288"/>
    <n v="114.4"/>
    <n v="5.5555555555555566E-2"/>
    <x v="7"/>
  </r>
  <r>
    <d v="2024-02-06T00:00:00"/>
    <x v="7"/>
    <x v="3"/>
    <x v="2"/>
    <n v="4200"/>
    <n v="1.2"/>
    <n v="1"/>
    <n v="5040"/>
    <n v="4200"/>
    <n v="840"/>
    <n v="4200"/>
    <n v="210"/>
    <n v="4.1666666666666664E-2"/>
    <x v="11"/>
  </r>
  <r>
    <d v="2024-10-06T00:00:00"/>
    <x v="12"/>
    <x v="1"/>
    <x v="0"/>
    <n v="2963"/>
    <n v="1.25"/>
    <n v="1.05"/>
    <n v="3703.75"/>
    <n v="3111.15"/>
    <n v="592.599999999999"/>
    <n v="2963"/>
    <n v="148.15"/>
    <n v="0.04"/>
    <x v="9"/>
  </r>
  <r>
    <d v="2024-12-14T00:00:00"/>
    <x v="5"/>
    <x v="2"/>
    <x v="1"/>
    <n v="5999"/>
    <n v="0.9"/>
    <n v="0.7"/>
    <n v="5399.1"/>
    <n v="4199.3"/>
    <n v="1199.8"/>
    <n v="5999"/>
    <n v="299.95"/>
    <n v="5.5555555555555552E-2"/>
    <x v="1"/>
  </r>
  <r>
    <d v="2024-10-28T00:00:00"/>
    <x v="11"/>
    <x v="4"/>
    <x v="0"/>
    <n v="1667"/>
    <n v="1.25"/>
    <n v="1.05"/>
    <n v="2083.75"/>
    <n v="1750.35"/>
    <n v="333.39999999999901"/>
    <n v="1667"/>
    <n v="83.350000000000009"/>
    <n v="0.04"/>
    <x v="9"/>
  </r>
  <r>
    <d v="2024-06-29T00:00:00"/>
    <x v="11"/>
    <x v="1"/>
    <x v="2"/>
    <n v="4393"/>
    <n v="1.2"/>
    <n v="1"/>
    <n v="5271.5999999999904"/>
    <n v="4393"/>
    <n v="878.599999999999"/>
    <n v="4393"/>
    <n v="219.65"/>
    <n v="4.1666666666666741E-2"/>
    <x v="10"/>
  </r>
  <r>
    <d v="2024-04-04T00:00:00"/>
    <x v="12"/>
    <x v="1"/>
    <x v="0"/>
    <n v="1596"/>
    <n v="1.25"/>
    <n v="1.05"/>
    <n v="1995"/>
    <n v="1675.8"/>
    <n v="319.19999999999902"/>
    <n v="1596"/>
    <n v="79.800000000000011"/>
    <n v="4.0000000000000008E-2"/>
    <x v="0"/>
  </r>
  <r>
    <d v="2024-04-08T00:00:00"/>
    <x v="7"/>
    <x v="4"/>
    <x v="0"/>
    <n v="3179"/>
    <n v="1.25"/>
    <n v="1.05"/>
    <n v="3973.75"/>
    <n v="3337.95"/>
    <n v="635.79999999999905"/>
    <n v="3179"/>
    <n v="158.95000000000002"/>
    <n v="0.04"/>
    <x v="0"/>
  </r>
  <r>
    <d v="2024-07-06T00:00:00"/>
    <x v="11"/>
    <x v="4"/>
    <x v="0"/>
    <n v="2347"/>
    <n v="1.25"/>
    <n v="1.05"/>
    <n v="2933.75"/>
    <n v="2464.35"/>
    <n v="469.4"/>
    <n v="2347"/>
    <n v="117.35000000000001"/>
    <n v="0.04"/>
    <x v="4"/>
  </r>
  <r>
    <d v="2024-04-25T00:00:00"/>
    <x v="2"/>
    <x v="3"/>
    <x v="0"/>
    <n v="4404"/>
    <n v="1.25"/>
    <n v="1.05"/>
    <n v="5505"/>
    <n v="4624.2"/>
    <n v="880.8"/>
    <n v="4404"/>
    <n v="220.20000000000002"/>
    <n v="0.04"/>
    <x v="0"/>
  </r>
  <r>
    <d v="2024-07-09T00:00:00"/>
    <x v="8"/>
    <x v="1"/>
    <x v="0"/>
    <n v="1004"/>
    <n v="1.25"/>
    <n v="1.05"/>
    <n v="1255"/>
    <n v="1054.2"/>
    <n v="200.79999999999899"/>
    <n v="1004"/>
    <n v="50.2"/>
    <n v="0.04"/>
    <x v="4"/>
  </r>
  <r>
    <d v="2024-09-09T00:00:00"/>
    <x v="5"/>
    <x v="0"/>
    <x v="2"/>
    <n v="2121"/>
    <n v="1.2"/>
    <n v="1"/>
    <n v="2545.1999999999998"/>
    <n v="2121"/>
    <n v="424.19999999999902"/>
    <n v="2121"/>
    <n v="106.05000000000001"/>
    <n v="4.1666666666666671E-2"/>
    <x v="2"/>
  </r>
  <r>
    <d v="2024-06-09T00:00:00"/>
    <x v="13"/>
    <x v="4"/>
    <x v="0"/>
    <n v="2972"/>
    <n v="1.25"/>
    <n v="1.05"/>
    <n v="3715"/>
    <n v="3120.6"/>
    <n v="594.4"/>
    <n v="2972"/>
    <n v="148.6"/>
    <n v="0.04"/>
    <x v="10"/>
  </r>
  <r>
    <d v="2024-09-12T00:00:00"/>
    <x v="11"/>
    <x v="4"/>
    <x v="0"/>
    <n v="3046"/>
    <n v="1.25"/>
    <n v="1.05"/>
    <n v="3807.5"/>
    <n v="3198.3"/>
    <n v="609.19999999999902"/>
    <n v="3046"/>
    <n v="152.30000000000001"/>
    <n v="0.04"/>
    <x v="2"/>
  </r>
  <r>
    <d v="2024-11-18T00:00:00"/>
    <x v="4"/>
    <x v="2"/>
    <x v="2"/>
    <n v="1887"/>
    <n v="1.2"/>
    <n v="1"/>
    <n v="2264.4"/>
    <n v="1887"/>
    <n v="377.4"/>
    <n v="1887"/>
    <n v="94.350000000000009"/>
    <n v="4.1666666666666671E-2"/>
    <x v="8"/>
  </r>
  <r>
    <d v="2024-05-07T00:00:00"/>
    <x v="8"/>
    <x v="0"/>
    <x v="0"/>
    <n v="3494"/>
    <n v="1.25"/>
    <n v="1.05"/>
    <n v="4367.5"/>
    <n v="3668.7"/>
    <n v="698.79999999999905"/>
    <n v="3494"/>
    <n v="174.70000000000002"/>
    <n v="0.04"/>
    <x v="6"/>
  </r>
  <r>
    <d v="2024-01-18T00:00:00"/>
    <x v="11"/>
    <x v="0"/>
    <x v="2"/>
    <n v="4316"/>
    <n v="1.2"/>
    <n v="1"/>
    <n v="5179.2"/>
    <n v="4316"/>
    <n v="863.19999999999902"/>
    <n v="4316"/>
    <n v="215.8"/>
    <n v="4.1666666666666671E-2"/>
    <x v="5"/>
  </r>
  <r>
    <d v="2024-10-07T00:00:00"/>
    <x v="3"/>
    <x v="4"/>
    <x v="2"/>
    <n v="5818"/>
    <n v="1.2"/>
    <n v="1"/>
    <n v="6981.5999999999904"/>
    <n v="5818"/>
    <n v="1163.5999999999899"/>
    <n v="5818"/>
    <n v="290.90000000000003"/>
    <n v="4.1666666666666727E-2"/>
    <x v="9"/>
  </r>
  <r>
    <d v="2024-08-10T00:00:00"/>
    <x v="0"/>
    <x v="3"/>
    <x v="2"/>
    <n v="1217"/>
    <n v="1.2"/>
    <n v="1"/>
    <n v="1460.3999999999901"/>
    <n v="1217"/>
    <n v="243.39999999999901"/>
    <n v="1217"/>
    <n v="60.85"/>
    <n v="4.1666666666666949E-2"/>
    <x v="7"/>
  </r>
  <r>
    <d v="2024-02-23T00:00:00"/>
    <x v="2"/>
    <x v="2"/>
    <x v="2"/>
    <n v="3984"/>
    <n v="1.2"/>
    <n v="1"/>
    <n v="4780.8"/>
    <n v="3984"/>
    <n v="796.8"/>
    <n v="3984"/>
    <n v="199.20000000000002"/>
    <n v="4.1666666666666671E-2"/>
    <x v="11"/>
  </r>
  <r>
    <d v="2024-02-27T00:00:00"/>
    <x v="8"/>
    <x v="0"/>
    <x v="0"/>
    <n v="4934"/>
    <n v="1.25"/>
    <n v="1.05"/>
    <n v="6167.5"/>
    <n v="5180.7"/>
    <n v="986.8"/>
    <n v="4934"/>
    <n v="246.70000000000002"/>
    <n v="0.04"/>
    <x v="11"/>
  </r>
  <r>
    <d v="2024-11-18T00:00:00"/>
    <x v="6"/>
    <x v="4"/>
    <x v="2"/>
    <n v="1158"/>
    <n v="1.2"/>
    <n v="1"/>
    <n v="1389.6"/>
    <n v="1158"/>
    <n v="231.599999999999"/>
    <n v="1158"/>
    <n v="57.900000000000006"/>
    <n v="4.1666666666666671E-2"/>
    <x v="8"/>
  </r>
  <r>
    <d v="2024-12-25T00:00:00"/>
    <x v="13"/>
    <x v="0"/>
    <x v="0"/>
    <n v="5557"/>
    <n v="1.25"/>
    <n v="1.05"/>
    <n v="6946.25"/>
    <n v="5834.85"/>
    <n v="1111.3999999999901"/>
    <n v="5557"/>
    <n v="277.85000000000002"/>
    <n v="0.04"/>
    <x v="1"/>
  </r>
  <r>
    <d v="2024-06-22T00:00:00"/>
    <x v="0"/>
    <x v="2"/>
    <x v="0"/>
    <n v="4508"/>
    <n v="1.25"/>
    <n v="1.05"/>
    <n v="5635"/>
    <n v="4733.3999999999996"/>
    <n v="901.599999999999"/>
    <n v="4508"/>
    <n v="225.4"/>
    <n v="0.04"/>
    <x v="10"/>
  </r>
  <r>
    <d v="2024-10-06T00:00:00"/>
    <x v="10"/>
    <x v="2"/>
    <x v="2"/>
    <n v="5024"/>
    <n v="1.2"/>
    <n v="1"/>
    <n v="6028.8"/>
    <n v="5024"/>
    <n v="1004.8"/>
    <n v="5024"/>
    <n v="251.20000000000002"/>
    <n v="4.1666666666666671E-2"/>
    <x v="9"/>
  </r>
  <r>
    <d v="2024-04-23T00:00:00"/>
    <x v="4"/>
    <x v="1"/>
    <x v="0"/>
    <n v="5494"/>
    <n v="1.25"/>
    <n v="1.05"/>
    <n v="6867.5"/>
    <n v="5768.7"/>
    <n v="1098.8"/>
    <n v="5494"/>
    <n v="274.7"/>
    <n v="0.04"/>
    <x v="0"/>
  </r>
  <r>
    <d v="2024-10-14T00:00:00"/>
    <x v="4"/>
    <x v="4"/>
    <x v="2"/>
    <n v="4734"/>
    <n v="1.2"/>
    <n v="1"/>
    <n v="5680.8"/>
    <n v="4734"/>
    <n v="946.8"/>
    <n v="4734"/>
    <n v="236.70000000000002"/>
    <n v="4.1666666666666671E-2"/>
    <x v="9"/>
  </r>
  <r>
    <d v="2024-12-07T00:00:00"/>
    <x v="5"/>
    <x v="2"/>
    <x v="2"/>
    <n v="4264"/>
    <n v="1.2"/>
    <n v="1"/>
    <n v="5116.8"/>
    <n v="4264"/>
    <n v="852.8"/>
    <n v="4264"/>
    <n v="213.20000000000002"/>
    <n v="4.1666666666666671E-2"/>
    <x v="1"/>
  </r>
  <r>
    <d v="2024-05-30T00:00:00"/>
    <x v="12"/>
    <x v="1"/>
    <x v="1"/>
    <n v="3489"/>
    <n v="0.9"/>
    <n v="0.7"/>
    <n v="3140.1"/>
    <n v="2442.2999999999902"/>
    <n v="697.8"/>
    <n v="3489"/>
    <n v="174.45000000000002"/>
    <n v="5.5555555555555559E-2"/>
    <x v="6"/>
  </r>
  <r>
    <d v="2024-05-06T00:00:00"/>
    <x v="0"/>
    <x v="1"/>
    <x v="1"/>
    <n v="5137"/>
    <n v="0.9"/>
    <n v="0.7"/>
    <n v="4623.3"/>
    <n v="3595.8999999999901"/>
    <n v="1027.4000000000001"/>
    <n v="5137"/>
    <n v="256.85000000000002"/>
    <n v="5.5555555555555559E-2"/>
    <x v="6"/>
  </r>
  <r>
    <d v="2024-06-03T00:00:00"/>
    <x v="8"/>
    <x v="0"/>
    <x v="0"/>
    <n v="2604"/>
    <n v="1.25"/>
    <n v="1.05"/>
    <n v="3255"/>
    <n v="2734.2"/>
    <n v="520.79999999999905"/>
    <n v="2604"/>
    <n v="130.20000000000002"/>
    <n v="4.0000000000000008E-2"/>
    <x v="10"/>
  </r>
  <r>
    <d v="2024-09-29T00:00:00"/>
    <x v="7"/>
    <x v="0"/>
    <x v="0"/>
    <n v="1755"/>
    <n v="1.25"/>
    <n v="1.05"/>
    <n v="2193.75"/>
    <n v="1842.75"/>
    <n v="351"/>
    <n v="1755"/>
    <n v="87.75"/>
    <n v="0.04"/>
    <x v="2"/>
  </r>
  <r>
    <d v="2024-04-13T00:00:00"/>
    <x v="4"/>
    <x v="1"/>
    <x v="2"/>
    <n v="2982"/>
    <n v="1.2"/>
    <n v="1"/>
    <n v="3578.4"/>
    <n v="2982"/>
    <n v="596.4"/>
    <n v="2982"/>
    <n v="149.1"/>
    <n v="4.1666666666666664E-2"/>
    <x v="0"/>
  </r>
  <r>
    <d v="2024-10-25T00:00:00"/>
    <x v="8"/>
    <x v="0"/>
    <x v="0"/>
    <n v="883"/>
    <n v="1.25"/>
    <n v="1.05"/>
    <n v="1103.75"/>
    <n v="927.15"/>
    <n v="176.599999999999"/>
    <n v="883"/>
    <n v="44.150000000000006"/>
    <n v="4.0000000000000008E-2"/>
    <x v="9"/>
  </r>
  <r>
    <d v="2024-09-02T00:00:00"/>
    <x v="14"/>
    <x v="2"/>
    <x v="2"/>
    <n v="3107"/>
    <n v="1.2"/>
    <n v="1"/>
    <n v="3728.3999999999901"/>
    <n v="3107"/>
    <n v="621.39999999999895"/>
    <n v="3107"/>
    <n v="155.35000000000002"/>
    <n v="4.1666666666666782E-2"/>
    <x v="2"/>
  </r>
  <r>
    <d v="2024-06-24T00:00:00"/>
    <x v="8"/>
    <x v="3"/>
    <x v="2"/>
    <n v="693"/>
    <n v="1.2"/>
    <n v="1"/>
    <n v="831.6"/>
    <n v="693"/>
    <n v="138.6"/>
    <n v="693"/>
    <n v="34.65"/>
    <n v="4.1666666666666664E-2"/>
    <x v="10"/>
  </r>
  <r>
    <d v="2024-02-08T00:00:00"/>
    <x v="14"/>
    <x v="2"/>
    <x v="2"/>
    <n v="4307"/>
    <n v="1.2"/>
    <n v="1"/>
    <n v="5168.3999999999996"/>
    <n v="4307"/>
    <n v="861.39999999999895"/>
    <n v="4307"/>
    <n v="215.35000000000002"/>
    <n v="4.1666666666666671E-2"/>
    <x v="11"/>
  </r>
  <r>
    <d v="2024-06-18T00:00:00"/>
    <x v="3"/>
    <x v="1"/>
    <x v="0"/>
    <n v="4219"/>
    <n v="1.25"/>
    <n v="1.05"/>
    <n v="5273.75"/>
    <n v="4429.95"/>
    <n v="843.8"/>
    <n v="4219"/>
    <n v="210.95000000000002"/>
    <n v="0.04"/>
    <x v="10"/>
  </r>
  <r>
    <d v="2024-09-03T00:00:00"/>
    <x v="1"/>
    <x v="1"/>
    <x v="0"/>
    <n v="3081"/>
    <n v="1.25"/>
    <n v="1.05"/>
    <n v="3851.25"/>
    <n v="3235.05"/>
    <n v="616.19999999999902"/>
    <n v="3081"/>
    <n v="154.05000000000001"/>
    <n v="0.04"/>
    <x v="2"/>
  </r>
  <r>
    <d v="2024-01-26T00:00:00"/>
    <x v="1"/>
    <x v="2"/>
    <x v="0"/>
    <n v="3065"/>
    <n v="1.25"/>
    <n v="1.05"/>
    <n v="3831.25"/>
    <n v="3218.25"/>
    <n v="613"/>
    <n v="3065"/>
    <n v="153.25"/>
    <n v="0.04"/>
    <x v="5"/>
  </r>
  <r>
    <d v="2024-12-20T00:00:00"/>
    <x v="10"/>
    <x v="0"/>
    <x v="0"/>
    <n v="3263"/>
    <n v="1.25"/>
    <n v="1.05"/>
    <n v="4078.75"/>
    <n v="3426.15"/>
    <n v="652.599999999999"/>
    <n v="3263"/>
    <n v="163.15"/>
    <n v="0.04"/>
    <x v="1"/>
  </r>
  <r>
    <d v="2024-11-01T00:00:00"/>
    <x v="6"/>
    <x v="0"/>
    <x v="1"/>
    <n v="3298"/>
    <n v="0.9"/>
    <n v="0.7"/>
    <n v="2968.2"/>
    <n v="2308.6"/>
    <n v="659.6"/>
    <n v="3298"/>
    <n v="164.9"/>
    <n v="5.5555555555555559E-2"/>
    <x v="8"/>
  </r>
  <r>
    <d v="2024-01-13T00:00:00"/>
    <x v="10"/>
    <x v="1"/>
    <x v="0"/>
    <n v="2839"/>
    <n v="1.25"/>
    <n v="1.05"/>
    <n v="3548.75"/>
    <n v="2980.95"/>
    <n v="567.79999999999905"/>
    <n v="2839"/>
    <n v="141.95000000000002"/>
    <n v="4.0000000000000008E-2"/>
    <x v="5"/>
  </r>
  <r>
    <d v="2024-11-11T00:00:00"/>
    <x v="14"/>
    <x v="4"/>
    <x v="0"/>
    <n v="3906"/>
    <n v="1.25"/>
    <n v="1.05"/>
    <n v="4882.5"/>
    <n v="4101.3"/>
    <n v="781.19999999999902"/>
    <n v="3906"/>
    <n v="195.3"/>
    <n v="0.04"/>
    <x v="8"/>
  </r>
  <r>
    <d v="2024-11-08T00:00:00"/>
    <x v="0"/>
    <x v="0"/>
    <x v="0"/>
    <n v="1231"/>
    <n v="1.25"/>
    <n v="1.05"/>
    <n v="1538.75"/>
    <n v="1292.55"/>
    <n v="246.2"/>
    <n v="1231"/>
    <n v="61.550000000000004"/>
    <n v="0.04"/>
    <x v="8"/>
  </r>
  <r>
    <d v="2024-02-05T00:00:00"/>
    <x v="11"/>
    <x v="2"/>
    <x v="2"/>
    <n v="3372"/>
    <n v="1.2"/>
    <n v="1"/>
    <n v="4046.3999999999901"/>
    <n v="3372"/>
    <n v="674.39999999999895"/>
    <n v="3372"/>
    <n v="168.60000000000002"/>
    <n v="4.1666666666666775E-2"/>
    <x v="11"/>
  </r>
  <r>
    <d v="2024-06-21T00:00:00"/>
    <x v="7"/>
    <x v="0"/>
    <x v="2"/>
    <n v="3620"/>
    <n v="1.2"/>
    <n v="1"/>
    <n v="4344"/>
    <n v="3620"/>
    <n v="724"/>
    <n v="3620"/>
    <n v="181"/>
    <n v="4.1666666666666664E-2"/>
    <x v="10"/>
  </r>
  <r>
    <d v="2024-01-20T00:00:00"/>
    <x v="11"/>
    <x v="2"/>
    <x v="0"/>
    <n v="5280"/>
    <n v="1.25"/>
    <n v="1.05"/>
    <n v="6600"/>
    <n v="5544"/>
    <n v="1056"/>
    <n v="5280"/>
    <n v="264"/>
    <n v="0.04"/>
    <x v="5"/>
  </r>
  <r>
    <d v="2024-11-16T00:00:00"/>
    <x v="9"/>
    <x v="1"/>
    <x v="0"/>
    <n v="4677"/>
    <n v="1.25"/>
    <n v="1.05"/>
    <n v="5846.25"/>
    <n v="4910.8500000000004"/>
    <n v="935.39999999999895"/>
    <n v="4677"/>
    <n v="233.85000000000002"/>
    <n v="0.04"/>
    <x v="8"/>
  </r>
  <r>
    <d v="2024-09-20T00:00:00"/>
    <x v="11"/>
    <x v="0"/>
    <x v="0"/>
    <n v="3104"/>
    <n v="1.25"/>
    <n v="1.05"/>
    <n v="3880"/>
    <n v="3259.2"/>
    <n v="620.79999999999905"/>
    <n v="3104"/>
    <n v="155.20000000000002"/>
    <n v="4.0000000000000008E-2"/>
    <x v="2"/>
  </r>
  <r>
    <d v="2024-05-21T00:00:00"/>
    <x v="5"/>
    <x v="2"/>
    <x v="0"/>
    <n v="2882"/>
    <n v="1.25"/>
    <n v="1.05"/>
    <n v="3602.5"/>
    <n v="3026.1"/>
    <n v="576.4"/>
    <n v="2882"/>
    <n v="144.1"/>
    <n v="0.04"/>
    <x v="6"/>
  </r>
  <r>
    <d v="2024-05-22T00:00:00"/>
    <x v="11"/>
    <x v="1"/>
    <x v="2"/>
    <n v="1031"/>
    <n v="1.2"/>
    <n v="1"/>
    <n v="1237.2"/>
    <n v="1031"/>
    <n v="206.2"/>
    <n v="1031"/>
    <n v="51.550000000000004"/>
    <n v="4.1666666666666671E-2"/>
    <x v="6"/>
  </r>
  <r>
    <d v="2024-04-01T00:00:00"/>
    <x v="10"/>
    <x v="4"/>
    <x v="2"/>
    <n v="4816"/>
    <n v="1.2"/>
    <n v="1"/>
    <n v="5779.2"/>
    <n v="4816"/>
    <n v="963.19999999999902"/>
    <n v="4816"/>
    <n v="240.8"/>
    <n v="4.1666666666666671E-2"/>
    <x v="0"/>
  </r>
  <r>
    <d v="2024-12-19T00:00:00"/>
    <x v="4"/>
    <x v="2"/>
    <x v="0"/>
    <n v="1134"/>
    <n v="1.25"/>
    <n v="1.05"/>
    <n v="1417.5"/>
    <n v="1190.7"/>
    <n v="226.79999999999899"/>
    <n v="1134"/>
    <n v="56.7"/>
    <n v="0.04"/>
    <x v="1"/>
  </r>
  <r>
    <d v="2024-11-17T00:00:00"/>
    <x v="2"/>
    <x v="4"/>
    <x v="0"/>
    <n v="2269"/>
    <n v="1.25"/>
    <n v="1.05"/>
    <n v="2836.25"/>
    <n v="2382.4499999999998"/>
    <n v="453.79999999999899"/>
    <n v="2269"/>
    <n v="113.45"/>
    <n v="0.04"/>
    <x v="8"/>
  </r>
  <r>
    <d v="2024-10-14T00:00:00"/>
    <x v="4"/>
    <x v="4"/>
    <x v="1"/>
    <n v="4304"/>
    <n v="0.9"/>
    <n v="0.7"/>
    <n v="3873.6"/>
    <n v="3012.7999999999902"/>
    <n v="860.8"/>
    <n v="4304"/>
    <n v="215.20000000000002"/>
    <n v="5.5555555555555559E-2"/>
    <x v="9"/>
  </r>
  <r>
    <d v="2024-08-02T00:00:00"/>
    <x v="1"/>
    <x v="3"/>
    <x v="0"/>
    <n v="2870"/>
    <n v="1.25"/>
    <n v="1.05"/>
    <n v="3587.5"/>
    <n v="3013.5"/>
    <n v="574"/>
    <n v="2870"/>
    <n v="143.5"/>
    <n v="0.04"/>
    <x v="7"/>
  </r>
  <r>
    <d v="2024-12-07T00:00:00"/>
    <x v="2"/>
    <x v="0"/>
    <x v="2"/>
    <n v="502"/>
    <n v="1.2"/>
    <n v="1"/>
    <n v="602.4"/>
    <n v="502"/>
    <n v="100.399999999999"/>
    <n v="502"/>
    <n v="25.1"/>
    <n v="4.1666666666666671E-2"/>
    <x v="1"/>
  </r>
  <r>
    <d v="2024-02-20T00:00:00"/>
    <x v="12"/>
    <x v="2"/>
    <x v="0"/>
    <n v="705"/>
    <n v="1.25"/>
    <n v="1.05"/>
    <n v="881.25"/>
    <n v="740.25"/>
    <n v="141"/>
    <n v="705"/>
    <n v="35.25"/>
    <n v="0.04"/>
    <x v="11"/>
  </r>
  <r>
    <d v="2024-06-01T00:00:00"/>
    <x v="7"/>
    <x v="4"/>
    <x v="0"/>
    <n v="4635"/>
    <n v="1.25"/>
    <n v="1.05"/>
    <n v="5793.75"/>
    <n v="4866.75"/>
    <n v="927"/>
    <n v="4635"/>
    <n v="231.75"/>
    <n v="0.04"/>
    <x v="10"/>
  </r>
  <r>
    <d v="2024-07-04T00:00:00"/>
    <x v="7"/>
    <x v="3"/>
    <x v="0"/>
    <n v="3121"/>
    <n v="1.25"/>
    <n v="1.05"/>
    <n v="3901.25"/>
    <n v="3277.05"/>
    <n v="624.19999999999902"/>
    <n v="3121"/>
    <n v="156.05000000000001"/>
    <n v="0.04"/>
    <x v="4"/>
  </r>
  <r>
    <d v="2024-03-03T00:00:00"/>
    <x v="5"/>
    <x v="1"/>
    <x v="2"/>
    <n v="5239"/>
    <n v="1.2"/>
    <n v="1"/>
    <n v="6286.8"/>
    <n v="5239"/>
    <n v="1047.8"/>
    <n v="5239"/>
    <n v="261.95"/>
    <n v="4.1666666666666664E-2"/>
    <x v="3"/>
  </r>
  <r>
    <d v="2024-07-08T00:00:00"/>
    <x v="0"/>
    <x v="2"/>
    <x v="1"/>
    <n v="3390"/>
    <n v="0.9"/>
    <n v="0.7"/>
    <n v="3051"/>
    <n v="2373"/>
    <n v="678"/>
    <n v="3390"/>
    <n v="169.5"/>
    <n v="5.5555555555555552E-2"/>
    <x v="4"/>
  </r>
  <r>
    <d v="2024-05-04T00:00:00"/>
    <x v="10"/>
    <x v="4"/>
    <x v="0"/>
    <n v="3693"/>
    <n v="1.25"/>
    <n v="1.05"/>
    <n v="4616.25"/>
    <n v="3877.65"/>
    <n v="738.599999999999"/>
    <n v="3693"/>
    <n v="184.65"/>
    <n v="0.04"/>
    <x v="6"/>
  </r>
  <r>
    <d v="2024-05-29T00:00:00"/>
    <x v="1"/>
    <x v="0"/>
    <x v="0"/>
    <n v="3166"/>
    <n v="1.25"/>
    <n v="1.05"/>
    <n v="3957.5"/>
    <n v="3324.3"/>
    <n v="633.19999999999902"/>
    <n v="3166"/>
    <n v="158.30000000000001"/>
    <n v="0.04"/>
    <x v="6"/>
  </r>
  <r>
    <d v="2024-11-09T00:00:00"/>
    <x v="3"/>
    <x v="3"/>
    <x v="0"/>
    <n v="3806"/>
    <n v="1.25"/>
    <n v="1.05"/>
    <n v="4757.5"/>
    <n v="3996.3"/>
    <n v="761.19999999999902"/>
    <n v="3806"/>
    <n v="190.3"/>
    <n v="0.04"/>
    <x v="8"/>
  </r>
  <r>
    <d v="2024-02-27T00:00:00"/>
    <x v="9"/>
    <x v="4"/>
    <x v="0"/>
    <n v="1397"/>
    <n v="1.25"/>
    <n v="1.05"/>
    <n v="1746.25"/>
    <n v="1466.85"/>
    <n v="279.39999999999901"/>
    <n v="1397"/>
    <n v="69.850000000000009"/>
    <n v="4.0000000000000008E-2"/>
    <x v="11"/>
  </r>
  <r>
    <d v="2024-12-07T00:00:00"/>
    <x v="0"/>
    <x v="0"/>
    <x v="0"/>
    <n v="1585"/>
    <n v="1.25"/>
    <n v="1.05"/>
    <n v="1981.25"/>
    <n v="1664.25"/>
    <n v="317"/>
    <n v="1585"/>
    <n v="79.25"/>
    <n v="0.04"/>
    <x v="1"/>
  </r>
  <r>
    <d v="2024-10-31T00:00:00"/>
    <x v="7"/>
    <x v="4"/>
    <x v="0"/>
    <n v="1779"/>
    <n v="1.25"/>
    <n v="1.05"/>
    <n v="2223.75"/>
    <n v="1867.95"/>
    <n v="355.79999999999899"/>
    <n v="1779"/>
    <n v="88.95"/>
    <n v="0.04"/>
    <x v="9"/>
  </r>
  <r>
    <d v="2024-06-28T00:00:00"/>
    <x v="4"/>
    <x v="2"/>
    <x v="2"/>
    <n v="1170"/>
    <n v="1.2"/>
    <n v="1"/>
    <n v="1404"/>
    <n v="1170"/>
    <n v="234"/>
    <n v="1170"/>
    <n v="58.5"/>
    <n v="4.1666666666666664E-2"/>
    <x v="10"/>
  </r>
  <r>
    <d v="2024-06-18T00:00:00"/>
    <x v="11"/>
    <x v="2"/>
    <x v="0"/>
    <n v="2005"/>
    <n v="1.25"/>
    <n v="1.05"/>
    <n v="2506.25"/>
    <n v="2105.25"/>
    <n v="401"/>
    <n v="2005"/>
    <n v="100.25"/>
    <n v="0.04"/>
    <x v="10"/>
  </r>
  <r>
    <d v="2024-11-21T00:00:00"/>
    <x v="11"/>
    <x v="2"/>
    <x v="0"/>
    <n v="4075"/>
    <n v="1.25"/>
    <n v="1.05"/>
    <n v="5093.75"/>
    <n v="4278.75"/>
    <n v="815"/>
    <n v="4075"/>
    <n v="203.75"/>
    <n v="0.04"/>
    <x v="8"/>
  </r>
  <r>
    <d v="2024-09-27T00:00:00"/>
    <x v="12"/>
    <x v="3"/>
    <x v="1"/>
    <n v="5314"/>
    <n v="0.9"/>
    <n v="0.7"/>
    <n v="4782.6000000000004"/>
    <n v="3719.7999999999902"/>
    <n v="1062.8"/>
    <n v="5314"/>
    <n v="265.7"/>
    <n v="5.5555555555555546E-2"/>
    <x v="2"/>
  </r>
  <r>
    <d v="2024-02-23T00:00:00"/>
    <x v="1"/>
    <x v="2"/>
    <x v="0"/>
    <n v="5667"/>
    <n v="1.25"/>
    <n v="1.05"/>
    <n v="7083.75"/>
    <n v="5950.35"/>
    <n v="1133.3999999999901"/>
    <n v="5667"/>
    <n v="283.35000000000002"/>
    <n v="0.04"/>
    <x v="11"/>
  </r>
  <r>
    <d v="2024-04-10T00:00:00"/>
    <x v="10"/>
    <x v="0"/>
    <x v="1"/>
    <n v="2455"/>
    <n v="0.9"/>
    <n v="0.7"/>
    <n v="2209.5"/>
    <n v="1718.5"/>
    <n v="491"/>
    <n v="2455"/>
    <n v="122.75"/>
    <n v="5.5555555555555552E-2"/>
    <x v="0"/>
  </r>
  <r>
    <d v="2024-09-20T00:00:00"/>
    <x v="10"/>
    <x v="4"/>
    <x v="0"/>
    <n v="5755"/>
    <n v="1.25"/>
    <n v="1.05"/>
    <n v="7193.75"/>
    <n v="6042.75"/>
    <n v="1151"/>
    <n v="5755"/>
    <n v="287.75"/>
    <n v="0.04"/>
    <x v="2"/>
  </r>
  <r>
    <d v="2024-02-22T00:00:00"/>
    <x v="6"/>
    <x v="1"/>
    <x v="1"/>
    <n v="749"/>
    <n v="0.9"/>
    <n v="0.7"/>
    <n v="674.1"/>
    <n v="524.29999999999995"/>
    <n v="149.80000000000001"/>
    <n v="749"/>
    <n v="37.450000000000003"/>
    <n v="5.5555555555555559E-2"/>
    <x v="11"/>
  </r>
  <r>
    <d v="2024-02-29T00:00:00"/>
    <x v="14"/>
    <x v="0"/>
    <x v="2"/>
    <n v="2392"/>
    <n v="1.2"/>
    <n v="1"/>
    <n v="2870.4"/>
    <n v="2392"/>
    <n v="478.4"/>
    <n v="2392"/>
    <n v="119.60000000000001"/>
    <n v="4.1666666666666671E-2"/>
    <x v="11"/>
  </r>
  <r>
    <d v="2024-04-17T00:00:00"/>
    <x v="13"/>
    <x v="0"/>
    <x v="2"/>
    <n v="3939"/>
    <n v="1.2"/>
    <n v="1"/>
    <n v="4726.8"/>
    <n v="3939"/>
    <n v="787.8"/>
    <n v="3939"/>
    <n v="196.95000000000002"/>
    <n v="4.1666666666666671E-2"/>
    <x v="0"/>
  </r>
  <r>
    <d v="2024-01-05T00:00:00"/>
    <x v="7"/>
    <x v="2"/>
    <x v="1"/>
    <n v="2353"/>
    <n v="0.9"/>
    <n v="0.7"/>
    <n v="2117.6999999999998"/>
    <n v="1647.1"/>
    <n v="470.6"/>
    <n v="2353"/>
    <n v="117.65"/>
    <n v="5.5555555555555566E-2"/>
    <x v="5"/>
  </r>
  <r>
    <d v="2024-04-12T00:00:00"/>
    <x v="10"/>
    <x v="3"/>
    <x v="0"/>
    <n v="3354"/>
    <n v="1.25"/>
    <n v="1.05"/>
    <n v="4192.5"/>
    <n v="3521.7"/>
    <n v="670.79999999999905"/>
    <n v="3354"/>
    <n v="167.70000000000002"/>
    <n v="0.04"/>
    <x v="0"/>
  </r>
  <r>
    <d v="2024-07-14T00:00:00"/>
    <x v="12"/>
    <x v="4"/>
    <x v="1"/>
    <n v="2003"/>
    <n v="0.9"/>
    <n v="0.7"/>
    <n v="1802.7"/>
    <n v="1402.1"/>
    <n v="400.6"/>
    <n v="2003"/>
    <n v="100.15"/>
    <n v="5.5555555555555559E-2"/>
    <x v="4"/>
  </r>
  <r>
    <d v="2024-09-18T00:00:00"/>
    <x v="4"/>
    <x v="3"/>
    <x v="0"/>
    <n v="3885"/>
    <n v="1.25"/>
    <n v="1.05"/>
    <n v="4856.25"/>
    <n v="4079.25"/>
    <n v="777"/>
    <n v="3885"/>
    <n v="194.25"/>
    <n v="0.04"/>
    <x v="2"/>
  </r>
  <r>
    <d v="2024-12-30T00:00:00"/>
    <x v="1"/>
    <x v="4"/>
    <x v="0"/>
    <n v="4071"/>
    <n v="1.25"/>
    <n v="1.05"/>
    <n v="5088.75"/>
    <n v="4274.55"/>
    <n v="814.19999999999902"/>
    <n v="4071"/>
    <n v="203.55"/>
    <n v="0.04"/>
    <x v="1"/>
  </r>
  <r>
    <d v="2024-12-15T00:00:00"/>
    <x v="9"/>
    <x v="4"/>
    <x v="0"/>
    <n v="4292"/>
    <n v="1.25"/>
    <n v="1.05"/>
    <n v="5365"/>
    <n v="4506.6000000000004"/>
    <n v="858.39999999999895"/>
    <n v="4292"/>
    <n v="214.60000000000002"/>
    <n v="0.04"/>
    <x v="1"/>
  </r>
  <r>
    <d v="2024-02-16T00:00:00"/>
    <x v="6"/>
    <x v="3"/>
    <x v="2"/>
    <n v="3926"/>
    <n v="1.2"/>
    <n v="1"/>
    <n v="4711.2"/>
    <n v="3926"/>
    <n v="785.19999999999902"/>
    <n v="3926"/>
    <n v="196.3"/>
    <n v="4.1666666666666671E-2"/>
    <x v="11"/>
  </r>
  <r>
    <d v="2024-12-20T00:00:00"/>
    <x v="12"/>
    <x v="0"/>
    <x v="0"/>
    <n v="5830"/>
    <n v="1.25"/>
    <n v="1.05"/>
    <n v="7287.5"/>
    <n v="6121.5"/>
    <n v="1166"/>
    <n v="5830"/>
    <n v="291.5"/>
    <n v="0.04"/>
    <x v="1"/>
  </r>
  <r>
    <d v="2024-11-06T00:00:00"/>
    <x v="8"/>
    <x v="4"/>
    <x v="2"/>
    <n v="543"/>
    <n v="1.2"/>
    <n v="1"/>
    <n v="651.6"/>
    <n v="543"/>
    <n v="108.6"/>
    <n v="543"/>
    <n v="27.150000000000002"/>
    <n v="4.1666666666666671E-2"/>
    <x v="8"/>
  </r>
  <r>
    <d v="2024-11-03T00:00:00"/>
    <x v="5"/>
    <x v="3"/>
    <x v="2"/>
    <n v="4112"/>
    <n v="1.2"/>
    <n v="1"/>
    <n v="4934.3999999999996"/>
    <n v="4112"/>
    <n v="822.39999999999895"/>
    <n v="4112"/>
    <n v="205.60000000000002"/>
    <n v="4.1666666666666671E-2"/>
    <x v="8"/>
  </r>
  <r>
    <d v="2024-05-23T00:00:00"/>
    <x v="9"/>
    <x v="4"/>
    <x v="2"/>
    <n v="3118"/>
    <n v="1.2"/>
    <n v="1"/>
    <n v="3741.6"/>
    <n v="3118"/>
    <n v="623.599999999999"/>
    <n v="3118"/>
    <n v="155.9"/>
    <n v="4.1666666666666671E-2"/>
    <x v="6"/>
  </r>
  <r>
    <d v="2024-09-25T00:00:00"/>
    <x v="14"/>
    <x v="1"/>
    <x v="2"/>
    <n v="5178"/>
    <n v="1.2"/>
    <n v="1"/>
    <n v="6213.5999999999904"/>
    <n v="5178"/>
    <n v="1035.5999999999899"/>
    <n v="5178"/>
    <n v="258.90000000000003"/>
    <n v="4.1666666666666734E-2"/>
    <x v="2"/>
  </r>
  <r>
    <d v="2024-05-03T00:00:00"/>
    <x v="8"/>
    <x v="0"/>
    <x v="0"/>
    <n v="3663"/>
    <n v="1.25"/>
    <n v="1.05"/>
    <n v="4578.75"/>
    <n v="3846.15"/>
    <n v="732.599999999999"/>
    <n v="3663"/>
    <n v="183.15"/>
    <n v="0.04"/>
    <x v="6"/>
  </r>
  <r>
    <d v="2024-04-15T00:00:00"/>
    <x v="3"/>
    <x v="2"/>
    <x v="0"/>
    <n v="1788"/>
    <n v="1.25"/>
    <n v="1.05"/>
    <n v="2235"/>
    <n v="1877.4"/>
    <n v="357.599999999999"/>
    <n v="1788"/>
    <n v="89.4"/>
    <n v="0.04"/>
    <x v="0"/>
  </r>
  <r>
    <d v="2024-06-06T00:00:00"/>
    <x v="14"/>
    <x v="4"/>
    <x v="0"/>
    <n v="3442"/>
    <n v="1.25"/>
    <n v="1.05"/>
    <n v="4302.5"/>
    <n v="3614.1"/>
    <n v="688.39999999999895"/>
    <n v="3442"/>
    <n v="172.10000000000002"/>
    <n v="4.0000000000000008E-2"/>
    <x v="10"/>
  </r>
  <r>
    <d v="2024-05-26T00:00:00"/>
    <x v="11"/>
    <x v="1"/>
    <x v="0"/>
    <n v="719"/>
    <n v="1.25"/>
    <n v="1.05"/>
    <n v="898.75"/>
    <n v="754.95"/>
    <n v="143.79999999999899"/>
    <n v="719"/>
    <n v="35.950000000000003"/>
    <n v="0.04"/>
    <x v="6"/>
  </r>
  <r>
    <d v="2024-05-24T00:00:00"/>
    <x v="5"/>
    <x v="2"/>
    <x v="0"/>
    <n v="2425"/>
    <n v="1.25"/>
    <n v="1.05"/>
    <n v="3031.25"/>
    <n v="2546.25"/>
    <n v="485"/>
    <n v="2425"/>
    <n v="121.25"/>
    <n v="0.04"/>
    <x v="6"/>
  </r>
  <r>
    <d v="2024-04-29T00:00:00"/>
    <x v="7"/>
    <x v="2"/>
    <x v="0"/>
    <n v="3472"/>
    <n v="1.25"/>
    <n v="1.05"/>
    <n v="4340"/>
    <n v="3645.6"/>
    <n v="694.39999999999895"/>
    <n v="3472"/>
    <n v="173.60000000000002"/>
    <n v="4.0000000000000008E-2"/>
    <x v="0"/>
  </r>
  <r>
    <d v="2024-11-14T00:00:00"/>
    <x v="4"/>
    <x v="4"/>
    <x v="0"/>
    <n v="4013"/>
    <n v="1.25"/>
    <n v="1.05"/>
    <n v="5016.25"/>
    <n v="4213.6499999999996"/>
    <n v="802.599999999999"/>
    <n v="4013"/>
    <n v="200.65"/>
    <n v="0.04"/>
    <x v="8"/>
  </r>
  <r>
    <d v="2024-10-01T00:00:00"/>
    <x v="5"/>
    <x v="3"/>
    <x v="1"/>
    <n v="2948"/>
    <n v="0.9"/>
    <n v="0.7"/>
    <n v="2653.2"/>
    <n v="2063.6"/>
    <n v="589.6"/>
    <n v="2948"/>
    <n v="147.4"/>
    <n v="5.5555555555555559E-2"/>
    <x v="9"/>
  </r>
  <r>
    <d v="2024-04-01T00:00:00"/>
    <x v="14"/>
    <x v="4"/>
    <x v="2"/>
    <n v="3971"/>
    <n v="1.2"/>
    <n v="1"/>
    <n v="4765.2"/>
    <n v="3971"/>
    <n v="794.19999999999902"/>
    <n v="3971"/>
    <n v="198.55"/>
    <n v="4.1666666666666671E-2"/>
    <x v="0"/>
  </r>
  <r>
    <d v="2024-02-27T00:00:00"/>
    <x v="13"/>
    <x v="1"/>
    <x v="0"/>
    <n v="3274"/>
    <n v="1.25"/>
    <n v="1.05"/>
    <n v="4092.5"/>
    <n v="3437.7"/>
    <n v="654.79999999999905"/>
    <n v="3274"/>
    <n v="163.70000000000002"/>
    <n v="0.04"/>
    <x v="11"/>
  </r>
  <r>
    <d v="2024-12-11T00:00:00"/>
    <x v="8"/>
    <x v="2"/>
    <x v="2"/>
    <n v="1490"/>
    <n v="1.2"/>
    <n v="1"/>
    <n v="1788"/>
    <n v="1490"/>
    <n v="298"/>
    <n v="1490"/>
    <n v="74.5"/>
    <n v="4.1666666666666664E-2"/>
    <x v="1"/>
  </r>
  <r>
    <d v="2024-08-16T00:00:00"/>
    <x v="7"/>
    <x v="4"/>
    <x v="0"/>
    <n v="3446"/>
    <n v="1.25"/>
    <n v="1.05"/>
    <n v="4307.5"/>
    <n v="3618.3"/>
    <n v="689.19999999999902"/>
    <n v="3446"/>
    <n v="172.3"/>
    <n v="0.04"/>
    <x v="7"/>
  </r>
  <r>
    <d v="2024-04-26T00:00:00"/>
    <x v="2"/>
    <x v="3"/>
    <x v="0"/>
    <n v="2312"/>
    <n v="1.25"/>
    <n v="1.05"/>
    <n v="2890"/>
    <n v="2427.6"/>
    <n v="462.4"/>
    <n v="2312"/>
    <n v="115.60000000000001"/>
    <n v="0.04"/>
    <x v="0"/>
  </r>
  <r>
    <d v="2024-11-13T00:00:00"/>
    <x v="13"/>
    <x v="4"/>
    <x v="2"/>
    <n v="5453"/>
    <n v="1.2"/>
    <n v="1"/>
    <n v="6543.5999999999904"/>
    <n v="5453"/>
    <n v="1090.5999999999899"/>
    <n v="5453"/>
    <n v="272.65000000000003"/>
    <n v="4.1666666666666734E-2"/>
    <x v="8"/>
  </r>
  <r>
    <d v="2024-10-05T00:00:00"/>
    <x v="11"/>
    <x v="0"/>
    <x v="0"/>
    <n v="1303"/>
    <n v="1.25"/>
    <n v="1.05"/>
    <n v="1628.75"/>
    <n v="1368.15"/>
    <n v="260.599999999999"/>
    <n v="1303"/>
    <n v="65.150000000000006"/>
    <n v="0.04"/>
    <x v="9"/>
  </r>
  <r>
    <d v="2024-05-06T00:00:00"/>
    <x v="13"/>
    <x v="3"/>
    <x v="0"/>
    <n v="989"/>
    <n v="1.25"/>
    <n v="1.05"/>
    <n v="1236.25"/>
    <n v="1038.45"/>
    <n v="197.79999999999899"/>
    <n v="989"/>
    <n v="49.45"/>
    <n v="0.04"/>
    <x v="6"/>
  </r>
  <r>
    <d v="2024-05-08T00:00:00"/>
    <x v="6"/>
    <x v="1"/>
    <x v="1"/>
    <n v="4056"/>
    <n v="0.9"/>
    <n v="0.7"/>
    <n v="3650.4"/>
    <n v="2839.2"/>
    <n v="811.2"/>
    <n v="4056"/>
    <n v="202.8"/>
    <n v="5.5555555555555559E-2"/>
    <x v="6"/>
  </r>
  <r>
    <d v="2024-02-27T00:00:00"/>
    <x v="6"/>
    <x v="2"/>
    <x v="1"/>
    <n v="1993"/>
    <n v="0.9"/>
    <n v="0.7"/>
    <n v="1793.7"/>
    <n v="1395.1"/>
    <n v="398.6"/>
    <n v="1993"/>
    <n v="99.65"/>
    <n v="5.5555555555555559E-2"/>
    <x v="11"/>
  </r>
  <r>
    <d v="2024-05-01T00:00:00"/>
    <x v="3"/>
    <x v="4"/>
    <x v="2"/>
    <n v="4145"/>
    <n v="1.2"/>
    <n v="1"/>
    <n v="4974"/>
    <n v="4145"/>
    <n v="829"/>
    <n v="4145"/>
    <n v="207.25"/>
    <n v="4.1666666666666664E-2"/>
    <x v="6"/>
  </r>
  <r>
    <d v="2024-01-01T00:00:00"/>
    <x v="14"/>
    <x v="3"/>
    <x v="2"/>
    <n v="3391"/>
    <n v="1.2"/>
    <n v="1"/>
    <n v="4069.2"/>
    <n v="3391"/>
    <n v="678.19999999999902"/>
    <n v="3391"/>
    <n v="169.55"/>
    <n v="4.1666666666666671E-2"/>
    <x v="5"/>
  </r>
  <r>
    <d v="2024-08-26T00:00:00"/>
    <x v="1"/>
    <x v="0"/>
    <x v="2"/>
    <n v="2205"/>
    <n v="1.2"/>
    <n v="1"/>
    <n v="2646"/>
    <n v="2205"/>
    <n v="441"/>
    <n v="2205"/>
    <n v="110.25"/>
    <n v="4.1666666666666664E-2"/>
    <x v="7"/>
  </r>
  <r>
    <d v="2024-10-16T00:00:00"/>
    <x v="9"/>
    <x v="3"/>
    <x v="0"/>
    <n v="4016"/>
    <n v="1.25"/>
    <n v="1.05"/>
    <n v="5020"/>
    <n v="4216.8"/>
    <n v="803.19999999999902"/>
    <n v="4016"/>
    <n v="200.8"/>
    <n v="0.04"/>
    <x v="9"/>
  </r>
  <r>
    <d v="2024-04-05T00:00:00"/>
    <x v="9"/>
    <x v="0"/>
    <x v="0"/>
    <n v="3840"/>
    <n v="1.25"/>
    <n v="1.05"/>
    <n v="4800"/>
    <n v="4032"/>
    <n v="768"/>
    <n v="3840"/>
    <n v="192"/>
    <n v="0.04"/>
    <x v="0"/>
  </r>
  <r>
    <d v="2024-05-05T00:00:00"/>
    <x v="2"/>
    <x v="1"/>
    <x v="0"/>
    <n v="553"/>
    <n v="1.25"/>
    <n v="1.05"/>
    <n v="691.25"/>
    <n v="580.65"/>
    <n v="110.6"/>
    <n v="553"/>
    <n v="27.650000000000002"/>
    <n v="0.04"/>
    <x v="6"/>
  </r>
  <r>
    <d v="2024-04-27T00:00:00"/>
    <x v="2"/>
    <x v="2"/>
    <x v="0"/>
    <n v="3075"/>
    <n v="1.25"/>
    <n v="1.05"/>
    <n v="3843.75"/>
    <n v="3228.75"/>
    <n v="615"/>
    <n v="3075"/>
    <n v="153.75"/>
    <n v="0.04"/>
    <x v="0"/>
  </r>
  <r>
    <d v="2024-02-17T00:00:00"/>
    <x v="7"/>
    <x v="1"/>
    <x v="2"/>
    <n v="4091"/>
    <n v="1.2"/>
    <n v="1"/>
    <n v="4909.2"/>
    <n v="4091"/>
    <n v="818.19999999999902"/>
    <n v="4091"/>
    <n v="204.55"/>
    <n v="4.1666666666666671E-2"/>
    <x v="11"/>
  </r>
  <r>
    <d v="2024-03-29T00:00:00"/>
    <x v="11"/>
    <x v="4"/>
    <x v="0"/>
    <n v="1115"/>
    <n v="1.25"/>
    <n v="1.05"/>
    <n v="1393.75"/>
    <n v="1170.75"/>
    <n v="223"/>
    <n v="1115"/>
    <n v="55.75"/>
    <n v="0.04"/>
    <x v="3"/>
  </r>
  <r>
    <d v="2024-08-24T00:00:00"/>
    <x v="10"/>
    <x v="3"/>
    <x v="1"/>
    <n v="5678"/>
    <n v="0.9"/>
    <n v="0.7"/>
    <n v="5110.2"/>
    <n v="3974.6"/>
    <n v="1135.5999999999999"/>
    <n v="5678"/>
    <n v="283.90000000000003"/>
    <n v="5.5555555555555566E-2"/>
    <x v="7"/>
  </r>
  <r>
    <d v="2024-09-28T00:00:00"/>
    <x v="3"/>
    <x v="0"/>
    <x v="1"/>
    <n v="1454"/>
    <n v="0.9"/>
    <n v="0.7"/>
    <n v="1308.5999999999999"/>
    <n v="1017.8"/>
    <n v="290.8"/>
    <n v="1454"/>
    <n v="72.7"/>
    <n v="5.5555555555555559E-2"/>
    <x v="2"/>
  </r>
  <r>
    <d v="2024-07-07T00:00:00"/>
    <x v="6"/>
    <x v="0"/>
    <x v="2"/>
    <n v="2933"/>
    <n v="1.2"/>
    <n v="1"/>
    <n v="3519.6"/>
    <n v="2933"/>
    <n v="586.599999999999"/>
    <n v="2933"/>
    <n v="146.65"/>
    <n v="4.1666666666666671E-2"/>
    <x v="4"/>
  </r>
  <r>
    <d v="2024-07-10T00:00:00"/>
    <x v="7"/>
    <x v="3"/>
    <x v="2"/>
    <n v="2129"/>
    <n v="1.2"/>
    <n v="1"/>
    <n v="2554.7999999999902"/>
    <n v="2129"/>
    <n v="425.79999999999899"/>
    <n v="2129"/>
    <n v="106.45"/>
    <n v="4.1666666666666831E-2"/>
    <x v="4"/>
  </r>
  <r>
    <d v="2024-03-09T00:00:00"/>
    <x v="10"/>
    <x v="3"/>
    <x v="1"/>
    <n v="3281"/>
    <n v="0.9"/>
    <n v="0.7"/>
    <n v="2952.9"/>
    <n v="2296.6999999999998"/>
    <n v="656.2"/>
    <n v="3281"/>
    <n v="164.05"/>
    <n v="5.5555555555555559E-2"/>
    <x v="3"/>
  </r>
  <r>
    <d v="2024-10-04T00:00:00"/>
    <x v="9"/>
    <x v="4"/>
    <x v="0"/>
    <n v="1149"/>
    <n v="1.25"/>
    <n v="1.05"/>
    <n v="1436.25"/>
    <n v="1206.45"/>
    <n v="229.79999999999899"/>
    <n v="1149"/>
    <n v="57.45"/>
    <n v="0.04"/>
    <x v="9"/>
  </r>
  <r>
    <d v="2024-12-14T00:00:00"/>
    <x v="1"/>
    <x v="1"/>
    <x v="2"/>
    <n v="2847"/>
    <n v="1.2"/>
    <n v="1"/>
    <n v="3416.4"/>
    <n v="2847"/>
    <n v="569.4"/>
    <n v="2847"/>
    <n v="142.35"/>
    <n v="4.1666666666666664E-2"/>
    <x v="1"/>
  </r>
  <r>
    <d v="2024-09-03T00:00:00"/>
    <x v="13"/>
    <x v="0"/>
    <x v="0"/>
    <n v="4990"/>
    <n v="1.25"/>
    <n v="1.05"/>
    <n v="6237.5"/>
    <n v="5239.5"/>
    <n v="998"/>
    <n v="4990"/>
    <n v="249.5"/>
    <n v="0.04"/>
    <x v="2"/>
  </r>
  <r>
    <d v="2024-03-16T00:00:00"/>
    <x v="6"/>
    <x v="4"/>
    <x v="2"/>
    <n v="3778"/>
    <n v="1.2"/>
    <n v="1"/>
    <n v="4533.5999999999904"/>
    <n v="3778"/>
    <n v="755.599999999999"/>
    <n v="3778"/>
    <n v="188.9"/>
    <n v="4.1666666666666755E-2"/>
    <x v="3"/>
  </r>
  <r>
    <d v="2024-06-02T00:00:00"/>
    <x v="7"/>
    <x v="1"/>
    <x v="0"/>
    <n v="5955"/>
    <n v="1.25"/>
    <n v="1.05"/>
    <n v="7443.75"/>
    <n v="6252.75"/>
    <n v="1191"/>
    <n v="5955"/>
    <n v="297.75"/>
    <n v="0.04"/>
    <x v="10"/>
  </r>
  <r>
    <d v="2024-05-23T00:00:00"/>
    <x v="5"/>
    <x v="4"/>
    <x v="1"/>
    <n v="3140"/>
    <n v="0.9"/>
    <n v="0.7"/>
    <n v="2826"/>
    <n v="2198"/>
    <n v="628"/>
    <n v="3140"/>
    <n v="157"/>
    <n v="5.5555555555555552E-2"/>
    <x v="6"/>
  </r>
  <r>
    <d v="2024-03-26T00:00:00"/>
    <x v="10"/>
    <x v="0"/>
    <x v="1"/>
    <n v="4301"/>
    <n v="0.9"/>
    <n v="0.7"/>
    <n v="3870.9"/>
    <n v="3010.7"/>
    <n v="860.2"/>
    <n v="4301"/>
    <n v="215.05"/>
    <n v="5.5555555555555559E-2"/>
    <x v="3"/>
  </r>
  <r>
    <d v="2024-07-03T00:00:00"/>
    <x v="13"/>
    <x v="3"/>
    <x v="0"/>
    <n v="3061"/>
    <n v="1.25"/>
    <n v="1.05"/>
    <n v="3826.25"/>
    <n v="3214.05"/>
    <n v="612.19999999999902"/>
    <n v="3061"/>
    <n v="153.05000000000001"/>
    <n v="0.04"/>
    <x v="4"/>
  </r>
  <r>
    <d v="2024-10-11T00:00:00"/>
    <x v="6"/>
    <x v="3"/>
    <x v="0"/>
    <n v="3749"/>
    <n v="1.25"/>
    <n v="1.05"/>
    <n v="4686.25"/>
    <n v="3936.45"/>
    <n v="749.79999999999905"/>
    <n v="3749"/>
    <n v="187.45000000000002"/>
    <n v="0.04"/>
    <x v="9"/>
  </r>
  <r>
    <d v="2024-08-07T00:00:00"/>
    <x v="9"/>
    <x v="1"/>
    <x v="1"/>
    <n v="870"/>
    <n v="0.9"/>
    <n v="0.7"/>
    <n v="783"/>
    <n v="609"/>
    <n v="174"/>
    <n v="870"/>
    <n v="43.5"/>
    <n v="5.5555555555555552E-2"/>
    <x v="7"/>
  </r>
  <r>
    <d v="2024-03-09T00:00:00"/>
    <x v="12"/>
    <x v="2"/>
    <x v="0"/>
    <n v="1357"/>
    <n v="1.25"/>
    <n v="1.05"/>
    <n v="1696.25"/>
    <n v="1424.85"/>
    <n v="271.39999999999901"/>
    <n v="1357"/>
    <n v="67.850000000000009"/>
    <n v="4.0000000000000008E-2"/>
    <x v="3"/>
  </r>
  <r>
    <d v="2024-02-16T00:00:00"/>
    <x v="11"/>
    <x v="1"/>
    <x v="1"/>
    <n v="5386"/>
    <n v="0.9"/>
    <n v="0.7"/>
    <n v="4847.3999999999996"/>
    <n v="3770.2"/>
    <n v="1077.2"/>
    <n v="5386"/>
    <n v="269.3"/>
    <n v="5.5555555555555559E-2"/>
    <x v="11"/>
  </r>
  <r>
    <d v="2024-04-03T00:00:00"/>
    <x v="10"/>
    <x v="2"/>
    <x v="2"/>
    <n v="5253"/>
    <n v="1.2"/>
    <n v="1"/>
    <n v="6303.5999999999904"/>
    <n v="5253"/>
    <n v="1050.5999999999899"/>
    <n v="5253"/>
    <n v="262.65000000000003"/>
    <n v="4.1666666666666734E-2"/>
    <x v="0"/>
  </r>
  <r>
    <d v="2024-08-25T00:00:00"/>
    <x v="9"/>
    <x v="4"/>
    <x v="0"/>
    <n v="5988"/>
    <n v="1.25"/>
    <n v="1.05"/>
    <n v="7485"/>
    <n v="6287.4"/>
    <n v="1197.5999999999899"/>
    <n v="5988"/>
    <n v="299.40000000000003"/>
    <n v="4.0000000000000008E-2"/>
    <x v="7"/>
  </r>
  <r>
    <d v="2024-07-22T00:00:00"/>
    <x v="6"/>
    <x v="4"/>
    <x v="0"/>
    <n v="883"/>
    <n v="1.25"/>
    <n v="1.05"/>
    <n v="1103.75"/>
    <n v="927.15"/>
    <n v="176.599999999999"/>
    <n v="883"/>
    <n v="44.150000000000006"/>
    <n v="4.0000000000000008E-2"/>
    <x v="4"/>
  </r>
  <r>
    <d v="2024-08-05T00:00:00"/>
    <x v="10"/>
    <x v="0"/>
    <x v="0"/>
    <n v="4377"/>
    <n v="1.25"/>
    <n v="1.05"/>
    <n v="5471.25"/>
    <n v="4595.8500000000004"/>
    <n v="875.39999999999895"/>
    <n v="4377"/>
    <n v="218.85000000000002"/>
    <n v="0.04"/>
    <x v="7"/>
  </r>
  <r>
    <d v="2024-12-06T00:00:00"/>
    <x v="3"/>
    <x v="2"/>
    <x v="2"/>
    <n v="3052"/>
    <n v="1.2"/>
    <n v="1"/>
    <n v="3662.4"/>
    <n v="3052"/>
    <n v="610.4"/>
    <n v="3052"/>
    <n v="152.6"/>
    <n v="4.1666666666666664E-2"/>
    <x v="1"/>
  </r>
  <r>
    <d v="2024-02-08T00:00:00"/>
    <x v="13"/>
    <x v="0"/>
    <x v="0"/>
    <n v="4834"/>
    <n v="1.25"/>
    <n v="1.05"/>
    <n v="6042.5"/>
    <n v="5075.7"/>
    <n v="966.8"/>
    <n v="4834"/>
    <n v="241.70000000000002"/>
    <n v="0.04"/>
    <x v="11"/>
  </r>
  <r>
    <d v="2024-04-09T00:00:00"/>
    <x v="0"/>
    <x v="3"/>
    <x v="2"/>
    <n v="4790"/>
    <n v="1.2"/>
    <n v="1"/>
    <n v="5748"/>
    <n v="4790"/>
    <n v="958"/>
    <n v="4790"/>
    <n v="239.5"/>
    <n v="4.1666666666666664E-2"/>
    <x v="0"/>
  </r>
  <r>
    <d v="2024-10-15T00:00:00"/>
    <x v="6"/>
    <x v="2"/>
    <x v="0"/>
    <n v="3225"/>
    <n v="1.25"/>
    <n v="1.05"/>
    <n v="4031.25"/>
    <n v="3386.25"/>
    <n v="645"/>
    <n v="3225"/>
    <n v="161.25"/>
    <n v="0.04"/>
    <x v="9"/>
  </r>
  <r>
    <d v="2024-09-10T00:00:00"/>
    <x v="3"/>
    <x v="1"/>
    <x v="2"/>
    <n v="4534"/>
    <n v="1.2"/>
    <n v="1"/>
    <n v="5440.8"/>
    <n v="4534"/>
    <n v="906.8"/>
    <n v="4534"/>
    <n v="226.70000000000002"/>
    <n v="4.1666666666666671E-2"/>
    <x v="2"/>
  </r>
  <r>
    <d v="2024-08-09T00:00:00"/>
    <x v="8"/>
    <x v="3"/>
    <x v="1"/>
    <n v="3793"/>
    <n v="0.9"/>
    <n v="0.7"/>
    <n v="3413.7"/>
    <n v="2655.1"/>
    <n v="758.6"/>
    <n v="3793"/>
    <n v="189.65"/>
    <n v="5.5555555555555559E-2"/>
    <x v="7"/>
  </r>
  <r>
    <d v="2024-12-22T00:00:00"/>
    <x v="7"/>
    <x v="3"/>
    <x v="1"/>
    <n v="5748"/>
    <n v="0.9"/>
    <n v="0.7"/>
    <n v="5173.2"/>
    <n v="4023.6"/>
    <n v="1149.5999999999999"/>
    <n v="5748"/>
    <n v="287.40000000000003"/>
    <n v="5.5555555555555566E-2"/>
    <x v="1"/>
  </r>
  <r>
    <d v="2024-01-23T00:00:00"/>
    <x v="12"/>
    <x v="1"/>
    <x v="0"/>
    <n v="4751"/>
    <n v="1.25"/>
    <n v="1.05"/>
    <n v="5938.75"/>
    <n v="4988.55"/>
    <n v="950.19999999999902"/>
    <n v="4751"/>
    <n v="237.55"/>
    <n v="0.04"/>
    <x v="5"/>
  </r>
  <r>
    <d v="2024-09-06T00:00:00"/>
    <x v="2"/>
    <x v="3"/>
    <x v="2"/>
    <n v="4488"/>
    <n v="1.2"/>
    <n v="1"/>
    <n v="5385.5999999999904"/>
    <n v="4488"/>
    <n v="897.599999999999"/>
    <n v="4488"/>
    <n v="224.4"/>
    <n v="4.1666666666666741E-2"/>
    <x v="2"/>
  </r>
  <r>
    <d v="2024-01-10T00:00:00"/>
    <x v="13"/>
    <x v="2"/>
    <x v="2"/>
    <n v="1422"/>
    <n v="1.2"/>
    <n v="1"/>
    <n v="1706.3999999999901"/>
    <n v="1422"/>
    <n v="284.39999999999901"/>
    <n v="1422"/>
    <n v="71.100000000000009"/>
    <n v="4.1666666666666914E-2"/>
    <x v="5"/>
  </r>
  <r>
    <d v="2024-09-02T00:00:00"/>
    <x v="10"/>
    <x v="0"/>
    <x v="2"/>
    <n v="3415"/>
    <n v="1.2"/>
    <n v="1"/>
    <n v="4098"/>
    <n v="3415"/>
    <n v="683"/>
    <n v="3415"/>
    <n v="170.75"/>
    <n v="4.1666666666666664E-2"/>
    <x v="2"/>
  </r>
  <r>
    <d v="2024-11-20T00:00:00"/>
    <x v="11"/>
    <x v="3"/>
    <x v="1"/>
    <n v="3450"/>
    <n v="0.9"/>
    <n v="0.7"/>
    <n v="3105"/>
    <n v="2415"/>
    <n v="690"/>
    <n v="3450"/>
    <n v="172.5"/>
    <n v="5.5555555555555552E-2"/>
    <x v="8"/>
  </r>
  <r>
    <d v="2024-04-09T00:00:00"/>
    <x v="9"/>
    <x v="2"/>
    <x v="0"/>
    <n v="3546"/>
    <n v="1.25"/>
    <n v="1.05"/>
    <n v="4432.5"/>
    <n v="3723.3"/>
    <n v="709.19999999999902"/>
    <n v="3546"/>
    <n v="177.3"/>
    <n v="0.04"/>
    <x v="0"/>
  </r>
  <r>
    <d v="2024-10-16T00:00:00"/>
    <x v="2"/>
    <x v="4"/>
    <x v="0"/>
    <n v="1474"/>
    <n v="1.25"/>
    <n v="1.05"/>
    <n v="1842.5"/>
    <n v="1547.7"/>
    <n v="294.79999999999899"/>
    <n v="1474"/>
    <n v="73.7"/>
    <n v="0.04"/>
    <x v="9"/>
  </r>
  <r>
    <d v="2024-06-28T00:00:00"/>
    <x v="5"/>
    <x v="2"/>
    <x v="1"/>
    <n v="1730"/>
    <n v="0.9"/>
    <n v="0.7"/>
    <n v="1557"/>
    <n v="1211"/>
    <n v="346"/>
    <n v="1730"/>
    <n v="86.5"/>
    <n v="5.5555555555555552E-2"/>
    <x v="10"/>
  </r>
  <r>
    <d v="2024-08-10T00:00:00"/>
    <x v="9"/>
    <x v="0"/>
    <x v="0"/>
    <n v="2935"/>
    <n v="1.25"/>
    <n v="1.05"/>
    <n v="3668.75"/>
    <n v="3081.75"/>
    <n v="587"/>
    <n v="2935"/>
    <n v="146.75"/>
    <n v="0.04"/>
    <x v="7"/>
  </r>
  <r>
    <d v="2024-09-06T00:00:00"/>
    <x v="10"/>
    <x v="2"/>
    <x v="2"/>
    <n v="2314"/>
    <n v="1.2"/>
    <n v="1"/>
    <n v="2776.7999999999902"/>
    <n v="2314"/>
    <n v="462.79999999999899"/>
    <n v="2314"/>
    <n v="115.7"/>
    <n v="4.1666666666666817E-2"/>
    <x v="2"/>
  </r>
  <r>
    <d v="2024-05-26T00:00:00"/>
    <x v="12"/>
    <x v="1"/>
    <x v="1"/>
    <n v="3434"/>
    <n v="0.9"/>
    <n v="0.7"/>
    <n v="3090.6"/>
    <n v="2403.7999999999902"/>
    <n v="686.8"/>
    <n v="3434"/>
    <n v="171.70000000000002"/>
    <n v="5.5555555555555559E-2"/>
    <x v="6"/>
  </r>
  <r>
    <d v="2024-04-05T00:00:00"/>
    <x v="14"/>
    <x v="0"/>
    <x v="0"/>
    <n v="5433"/>
    <n v="1.25"/>
    <n v="1.05"/>
    <n v="6791.25"/>
    <n v="5704.65"/>
    <n v="1086.5999999999899"/>
    <n v="5433"/>
    <n v="271.65000000000003"/>
    <n v="4.0000000000000008E-2"/>
    <x v="0"/>
  </r>
  <r>
    <d v="2024-09-13T00:00:00"/>
    <x v="9"/>
    <x v="4"/>
    <x v="1"/>
    <n v="1863"/>
    <n v="0.9"/>
    <n v="0.7"/>
    <n v="1676.7"/>
    <n v="1304.0999999999999"/>
    <n v="372.6"/>
    <n v="1863"/>
    <n v="93.15"/>
    <n v="5.5555555555555559E-2"/>
    <x v="2"/>
  </r>
  <r>
    <d v="2024-11-20T00:00:00"/>
    <x v="14"/>
    <x v="1"/>
    <x v="0"/>
    <n v="4440"/>
    <n v="1.25"/>
    <n v="1.05"/>
    <n v="5550"/>
    <n v="4662"/>
    <n v="888"/>
    <n v="4440"/>
    <n v="222"/>
    <n v="0.04"/>
    <x v="8"/>
  </r>
  <r>
    <d v="2024-01-04T00:00:00"/>
    <x v="7"/>
    <x v="2"/>
    <x v="2"/>
    <n v="703"/>
    <n v="1.2"/>
    <n v="1"/>
    <n v="843.6"/>
    <n v="703"/>
    <n v="140.6"/>
    <n v="703"/>
    <n v="35.15"/>
    <n v="4.1666666666666664E-2"/>
    <x v="5"/>
  </r>
  <r>
    <d v="2024-01-16T00:00:00"/>
    <x v="12"/>
    <x v="0"/>
    <x v="2"/>
    <n v="660"/>
    <n v="1.2"/>
    <n v="1"/>
    <n v="792"/>
    <n v="660"/>
    <n v="132"/>
    <n v="660"/>
    <n v="33"/>
    <n v="4.1666666666666664E-2"/>
    <x v="5"/>
  </r>
  <r>
    <d v="2024-10-06T00:00:00"/>
    <x v="6"/>
    <x v="4"/>
    <x v="1"/>
    <n v="4987"/>
    <n v="0.9"/>
    <n v="0.7"/>
    <n v="4488.3"/>
    <n v="3490.8999999999901"/>
    <n v="997.4"/>
    <n v="4987"/>
    <n v="249.35000000000002"/>
    <n v="5.5555555555555559E-2"/>
    <x v="9"/>
  </r>
  <r>
    <d v="2024-12-01T00:00:00"/>
    <x v="3"/>
    <x v="1"/>
    <x v="0"/>
    <n v="1268"/>
    <n v="1.25"/>
    <n v="1.05"/>
    <n v="1585"/>
    <n v="1331.4"/>
    <n v="253.599999999999"/>
    <n v="1268"/>
    <n v="63.400000000000006"/>
    <n v="0.04"/>
    <x v="1"/>
  </r>
  <r>
    <d v="2024-09-03T00:00:00"/>
    <x v="5"/>
    <x v="4"/>
    <x v="0"/>
    <n v="4248"/>
    <n v="1.25"/>
    <n v="1.05"/>
    <n v="5310"/>
    <n v="4460.3999999999996"/>
    <n v="849.599999999999"/>
    <n v="4248"/>
    <n v="212.4"/>
    <n v="0.04"/>
    <x v="2"/>
  </r>
  <r>
    <d v="2024-09-14T00:00:00"/>
    <x v="4"/>
    <x v="2"/>
    <x v="2"/>
    <n v="3081"/>
    <n v="1.2"/>
    <n v="1"/>
    <n v="3697.2"/>
    <n v="3081"/>
    <n v="616.19999999999902"/>
    <n v="3081"/>
    <n v="154.05000000000001"/>
    <n v="4.1666666666666671E-2"/>
    <x v="2"/>
  </r>
  <r>
    <d v="2024-06-08T00:00:00"/>
    <x v="10"/>
    <x v="4"/>
    <x v="2"/>
    <n v="1593"/>
    <n v="1.2"/>
    <n v="1"/>
    <n v="1911.6"/>
    <n v="1593"/>
    <n v="318.599999999999"/>
    <n v="1593"/>
    <n v="79.650000000000006"/>
    <n v="4.1666666666666671E-2"/>
    <x v="10"/>
  </r>
  <r>
    <d v="2024-12-05T00:00:00"/>
    <x v="1"/>
    <x v="3"/>
    <x v="2"/>
    <n v="5000"/>
    <n v="1.2"/>
    <n v="1"/>
    <n v="6000"/>
    <n v="5000"/>
    <n v="1000"/>
    <n v="5000"/>
    <n v="250"/>
    <n v="4.1666666666666664E-2"/>
    <x v="1"/>
  </r>
  <r>
    <d v="2024-05-31T00:00:00"/>
    <x v="4"/>
    <x v="1"/>
    <x v="0"/>
    <n v="1107"/>
    <n v="1.25"/>
    <n v="1.05"/>
    <n v="1383.75"/>
    <n v="1162.3499999999999"/>
    <n v="221.39999999999901"/>
    <n v="1107"/>
    <n v="55.35"/>
    <n v="0.04"/>
    <x v="6"/>
  </r>
  <r>
    <d v="2024-06-26T00:00:00"/>
    <x v="9"/>
    <x v="4"/>
    <x v="0"/>
    <n v="2040"/>
    <n v="1.25"/>
    <n v="1.05"/>
    <n v="2550"/>
    <n v="2142"/>
    <n v="408"/>
    <n v="2040"/>
    <n v="102"/>
    <n v="0.04"/>
    <x v="10"/>
  </r>
  <r>
    <d v="2024-06-11T00:00:00"/>
    <x v="2"/>
    <x v="2"/>
    <x v="0"/>
    <n v="3375"/>
    <n v="1.25"/>
    <n v="1.05"/>
    <n v="4218.75"/>
    <n v="3543.75"/>
    <n v="675"/>
    <n v="3375"/>
    <n v="168.75"/>
    <n v="0.04"/>
    <x v="10"/>
  </r>
  <r>
    <d v="2024-02-02T00:00:00"/>
    <x v="10"/>
    <x v="2"/>
    <x v="2"/>
    <n v="3691"/>
    <n v="1.2"/>
    <n v="1"/>
    <n v="4429.2"/>
    <n v="3691"/>
    <n v="738.19999999999902"/>
    <n v="3691"/>
    <n v="184.55"/>
    <n v="4.1666666666666671E-2"/>
    <x v="11"/>
  </r>
  <r>
    <d v="2024-06-27T00:00:00"/>
    <x v="3"/>
    <x v="4"/>
    <x v="0"/>
    <n v="2337"/>
    <n v="1.25"/>
    <n v="1.05"/>
    <n v="2921.25"/>
    <n v="2453.85"/>
    <n v="467.4"/>
    <n v="2337"/>
    <n v="116.85000000000001"/>
    <n v="0.04"/>
    <x v="10"/>
  </r>
  <r>
    <d v="2024-04-10T00:00:00"/>
    <x v="8"/>
    <x v="2"/>
    <x v="0"/>
    <n v="1189"/>
    <n v="1.25"/>
    <n v="1.05"/>
    <n v="1486.25"/>
    <n v="1248.45"/>
    <n v="237.79999999999899"/>
    <n v="1189"/>
    <n v="59.45"/>
    <n v="0.04"/>
    <x v="0"/>
  </r>
  <r>
    <d v="2024-09-24T00:00:00"/>
    <x v="3"/>
    <x v="0"/>
    <x v="1"/>
    <n v="4259"/>
    <n v="0.9"/>
    <n v="0.7"/>
    <n v="3833.1"/>
    <n v="2981.2999999999902"/>
    <n v="851.8"/>
    <n v="4259"/>
    <n v="212.95000000000002"/>
    <n v="5.5555555555555559E-2"/>
    <x v="2"/>
  </r>
  <r>
    <d v="2024-11-18T00:00:00"/>
    <x v="1"/>
    <x v="0"/>
    <x v="0"/>
    <n v="3449"/>
    <n v="1.25"/>
    <n v="1.05"/>
    <n v="4311.25"/>
    <n v="3621.45"/>
    <n v="689.79999999999905"/>
    <n v="3449"/>
    <n v="172.45000000000002"/>
    <n v="0.04"/>
    <x v="8"/>
  </r>
  <r>
    <d v="2024-03-05T00:00:00"/>
    <x v="5"/>
    <x v="0"/>
    <x v="1"/>
    <n v="5836"/>
    <n v="0.9"/>
    <n v="0.7"/>
    <n v="5252.4"/>
    <n v="4085.2"/>
    <n v="1167.2"/>
    <n v="5836"/>
    <n v="291.8"/>
    <n v="5.5555555555555559E-2"/>
    <x v="3"/>
  </r>
  <r>
    <d v="2024-06-16T00:00:00"/>
    <x v="3"/>
    <x v="3"/>
    <x v="2"/>
    <n v="2603"/>
    <n v="1.2"/>
    <n v="1"/>
    <n v="3123.6"/>
    <n v="2603"/>
    <n v="520.599999999999"/>
    <n v="2603"/>
    <n v="130.15"/>
    <n v="4.1666666666666671E-2"/>
    <x v="10"/>
  </r>
  <r>
    <d v="2024-11-25T00:00:00"/>
    <x v="11"/>
    <x v="4"/>
    <x v="2"/>
    <n v="865"/>
    <n v="1.2"/>
    <n v="1"/>
    <n v="1038"/>
    <n v="865"/>
    <n v="173"/>
    <n v="865"/>
    <n v="43.25"/>
    <n v="4.1666666666666664E-2"/>
    <x v="8"/>
  </r>
  <r>
    <d v="2024-02-12T00:00:00"/>
    <x v="8"/>
    <x v="3"/>
    <x v="0"/>
    <n v="4075"/>
    <n v="1.25"/>
    <n v="1.05"/>
    <n v="5093.75"/>
    <n v="4278.75"/>
    <n v="815"/>
    <n v="4075"/>
    <n v="203.75"/>
    <n v="0.04"/>
    <x v="11"/>
  </r>
  <r>
    <d v="2024-02-13T00:00:00"/>
    <x v="4"/>
    <x v="2"/>
    <x v="0"/>
    <n v="5050"/>
    <n v="1.25"/>
    <n v="1.05"/>
    <n v="6312.5"/>
    <n v="5302.5"/>
    <n v="1010"/>
    <n v="5050"/>
    <n v="252.5"/>
    <n v="0.04"/>
    <x v="11"/>
  </r>
  <r>
    <d v="2024-10-11T00:00:00"/>
    <x v="6"/>
    <x v="3"/>
    <x v="2"/>
    <n v="4699"/>
    <n v="1.2"/>
    <n v="1"/>
    <n v="5638.8"/>
    <n v="4699"/>
    <n v="939.8"/>
    <n v="4699"/>
    <n v="234.95000000000002"/>
    <n v="4.1666666666666671E-2"/>
    <x v="9"/>
  </r>
  <r>
    <d v="2024-01-12T00:00:00"/>
    <x v="7"/>
    <x v="2"/>
    <x v="2"/>
    <n v="4672"/>
    <n v="1.2"/>
    <n v="1"/>
    <n v="5606.4"/>
    <n v="4672"/>
    <n v="934.39999999999895"/>
    <n v="4672"/>
    <n v="233.60000000000002"/>
    <n v="4.1666666666666671E-2"/>
    <x v="5"/>
  </r>
  <r>
    <d v="2024-04-04T00:00:00"/>
    <x v="11"/>
    <x v="2"/>
    <x v="2"/>
    <n v="4825"/>
    <n v="1.2"/>
    <n v="1"/>
    <n v="5790"/>
    <n v="4825"/>
    <n v="965"/>
    <n v="4825"/>
    <n v="241.25"/>
    <n v="4.1666666666666664E-2"/>
    <x v="0"/>
  </r>
  <r>
    <d v="2024-10-28T00:00:00"/>
    <x v="0"/>
    <x v="1"/>
    <x v="0"/>
    <n v="2878"/>
    <n v="1.25"/>
    <n v="1.05"/>
    <n v="3597.5"/>
    <n v="3021.9"/>
    <n v="575.599999999999"/>
    <n v="2878"/>
    <n v="143.9"/>
    <n v="0.04"/>
    <x v="9"/>
  </r>
  <r>
    <d v="2024-09-09T00:00:00"/>
    <x v="8"/>
    <x v="0"/>
    <x v="2"/>
    <n v="1705"/>
    <n v="1.2"/>
    <n v="1"/>
    <n v="2046"/>
    <n v="1705"/>
    <n v="341"/>
    <n v="1705"/>
    <n v="85.25"/>
    <n v="4.1666666666666664E-2"/>
    <x v="2"/>
  </r>
  <r>
    <d v="2024-08-29T00:00:00"/>
    <x v="6"/>
    <x v="2"/>
    <x v="2"/>
    <n v="5488"/>
    <n v="1.2"/>
    <n v="1"/>
    <n v="6585.5999999999904"/>
    <n v="5488"/>
    <n v="1097.5999999999899"/>
    <n v="5488"/>
    <n v="274.40000000000003"/>
    <n v="4.1666666666666734E-2"/>
    <x v="7"/>
  </r>
  <r>
    <d v="2024-02-04T00:00:00"/>
    <x v="6"/>
    <x v="1"/>
    <x v="2"/>
    <n v="4339"/>
    <n v="1.2"/>
    <n v="1"/>
    <n v="5206.8"/>
    <n v="4339"/>
    <n v="867.8"/>
    <n v="4339"/>
    <n v="216.95000000000002"/>
    <n v="4.1666666666666671E-2"/>
    <x v="11"/>
  </r>
  <r>
    <d v="2024-08-02T00:00:00"/>
    <x v="10"/>
    <x v="0"/>
    <x v="2"/>
    <n v="3235"/>
    <n v="1.2"/>
    <n v="1"/>
    <n v="3882"/>
    <n v="3235"/>
    <n v="647"/>
    <n v="3235"/>
    <n v="161.75"/>
    <n v="4.1666666666666664E-2"/>
    <x v="7"/>
  </r>
  <r>
    <d v="2024-12-02T00:00:00"/>
    <x v="8"/>
    <x v="2"/>
    <x v="2"/>
    <n v="3847"/>
    <n v="1.2"/>
    <n v="1"/>
    <n v="4616.3999999999996"/>
    <n v="3847"/>
    <n v="769.39999999999895"/>
    <n v="3847"/>
    <n v="192.35000000000002"/>
    <n v="4.1666666666666678E-2"/>
    <x v="1"/>
  </r>
  <r>
    <d v="2024-03-30T00:00:00"/>
    <x v="5"/>
    <x v="2"/>
    <x v="2"/>
    <n v="2175"/>
    <n v="1.2"/>
    <n v="1"/>
    <n v="2610"/>
    <n v="2175"/>
    <n v="435"/>
    <n v="2175"/>
    <n v="108.75"/>
    <n v="4.1666666666666664E-2"/>
    <x v="3"/>
  </r>
  <r>
    <d v="2024-09-20T00:00:00"/>
    <x v="9"/>
    <x v="3"/>
    <x v="0"/>
    <n v="798"/>
    <n v="1.25"/>
    <n v="1.05"/>
    <n v="997.5"/>
    <n v="837.9"/>
    <n v="159.599999999999"/>
    <n v="798"/>
    <n v="39.900000000000006"/>
    <n v="4.0000000000000008E-2"/>
    <x v="2"/>
  </r>
  <r>
    <d v="2024-04-02T00:00:00"/>
    <x v="1"/>
    <x v="3"/>
    <x v="0"/>
    <n v="1456"/>
    <n v="1.25"/>
    <n v="1.05"/>
    <n v="1820"/>
    <n v="1528.8"/>
    <n v="291.2"/>
    <n v="1456"/>
    <n v="72.8"/>
    <n v="0.04"/>
    <x v="0"/>
  </r>
  <r>
    <d v="2024-03-30T00:00:00"/>
    <x v="0"/>
    <x v="0"/>
    <x v="0"/>
    <n v="1614"/>
    <n v="1.25"/>
    <n v="1.05"/>
    <n v="2017.5"/>
    <n v="1694.7"/>
    <n v="322.79999999999899"/>
    <n v="1614"/>
    <n v="80.7"/>
    <n v="0.04"/>
    <x v="3"/>
  </r>
  <r>
    <d v="2024-04-24T00:00:00"/>
    <x v="1"/>
    <x v="2"/>
    <x v="0"/>
    <n v="3005"/>
    <n v="1.25"/>
    <n v="1.05"/>
    <n v="3756.25"/>
    <n v="3155.25"/>
    <n v="601"/>
    <n v="3005"/>
    <n v="150.25"/>
    <n v="0.04"/>
    <x v="0"/>
  </r>
  <r>
    <d v="2024-04-14T00:00:00"/>
    <x v="4"/>
    <x v="4"/>
    <x v="0"/>
    <n v="1974"/>
    <n v="1.25"/>
    <n v="1.05"/>
    <n v="2467.5"/>
    <n v="2072.6999999999998"/>
    <n v="394.79999999999899"/>
    <n v="1974"/>
    <n v="98.7"/>
    <n v="0.04"/>
    <x v="0"/>
  </r>
  <r>
    <d v="2024-07-14T00:00:00"/>
    <x v="4"/>
    <x v="3"/>
    <x v="0"/>
    <n v="4960"/>
    <n v="1.25"/>
    <n v="1.05"/>
    <n v="6200"/>
    <n v="5208"/>
    <n v="992"/>
    <n v="4960"/>
    <n v="248"/>
    <n v="0.04"/>
    <x v="4"/>
  </r>
  <r>
    <d v="2024-11-09T00:00:00"/>
    <x v="1"/>
    <x v="0"/>
    <x v="0"/>
    <n v="4946"/>
    <n v="1.25"/>
    <n v="1.05"/>
    <n v="6182.5"/>
    <n v="5193.3"/>
    <n v="989.19999999999902"/>
    <n v="4946"/>
    <n v="247.3"/>
    <n v="0.04"/>
    <x v="8"/>
  </r>
  <r>
    <d v="2024-04-23T00:00:00"/>
    <x v="3"/>
    <x v="2"/>
    <x v="0"/>
    <n v="4226"/>
    <n v="1.25"/>
    <n v="1.05"/>
    <n v="5282.5"/>
    <n v="4437.3"/>
    <n v="845.19999999999902"/>
    <n v="4226"/>
    <n v="211.3"/>
    <n v="0.04"/>
    <x v="0"/>
  </r>
  <r>
    <d v="2024-03-15T00:00:00"/>
    <x v="5"/>
    <x v="2"/>
    <x v="2"/>
    <n v="3971"/>
    <n v="1.2"/>
    <n v="1"/>
    <n v="4765.2"/>
    <n v="3971"/>
    <n v="794.19999999999902"/>
    <n v="3971"/>
    <n v="198.55"/>
    <n v="4.1666666666666671E-2"/>
    <x v="3"/>
  </r>
  <r>
    <d v="2024-08-04T00:00:00"/>
    <x v="14"/>
    <x v="4"/>
    <x v="1"/>
    <n v="3328"/>
    <n v="0.9"/>
    <n v="0.7"/>
    <n v="2995.2"/>
    <n v="2329.6"/>
    <n v="665.6"/>
    <n v="3328"/>
    <n v="166.4"/>
    <n v="5.5555555555555559E-2"/>
    <x v="7"/>
  </r>
  <r>
    <d v="2024-10-03T00:00:00"/>
    <x v="3"/>
    <x v="0"/>
    <x v="0"/>
    <n v="3350"/>
    <n v="1.25"/>
    <n v="1.05"/>
    <n v="4187.5"/>
    <n v="3517.5"/>
    <n v="670"/>
    <n v="3350"/>
    <n v="167.5"/>
    <n v="0.04"/>
    <x v="9"/>
  </r>
  <r>
    <d v="2024-09-05T00:00:00"/>
    <x v="2"/>
    <x v="2"/>
    <x v="1"/>
    <n v="5607"/>
    <n v="0.9"/>
    <n v="0.7"/>
    <n v="5046.3"/>
    <n v="3924.8999999999901"/>
    <n v="1121.4000000000001"/>
    <n v="5607"/>
    <n v="280.35000000000002"/>
    <n v="5.5555555555555559E-2"/>
    <x v="2"/>
  </r>
  <r>
    <d v="2024-06-12T00:00:00"/>
    <x v="3"/>
    <x v="3"/>
    <x v="2"/>
    <n v="3006"/>
    <n v="1.2"/>
    <n v="1"/>
    <n v="3607.2"/>
    <n v="3006"/>
    <n v="601.19999999999902"/>
    <n v="3006"/>
    <n v="150.30000000000001"/>
    <n v="4.1666666666666671E-2"/>
    <x v="10"/>
  </r>
  <r>
    <d v="2024-12-22T00:00:00"/>
    <x v="7"/>
    <x v="4"/>
    <x v="0"/>
    <n v="4270"/>
    <n v="1.25"/>
    <n v="1.05"/>
    <n v="5337.5"/>
    <n v="4483.5"/>
    <n v="854"/>
    <n v="4270"/>
    <n v="213.5"/>
    <n v="0.04"/>
    <x v="1"/>
  </r>
  <r>
    <d v="2024-07-10T00:00:00"/>
    <x v="13"/>
    <x v="0"/>
    <x v="0"/>
    <n v="3464"/>
    <n v="1.25"/>
    <n v="1.05"/>
    <n v="4330"/>
    <n v="3637.2"/>
    <n v="692.79999999999905"/>
    <n v="3464"/>
    <n v="173.20000000000002"/>
    <n v="0.04"/>
    <x v="4"/>
  </r>
  <r>
    <d v="2024-08-14T00:00:00"/>
    <x v="9"/>
    <x v="4"/>
    <x v="2"/>
    <n v="5094"/>
    <n v="1.2"/>
    <n v="1"/>
    <n v="6112.8"/>
    <n v="5094"/>
    <n v="1018.8"/>
    <n v="5094"/>
    <n v="254.70000000000002"/>
    <n v="4.1666666666666671E-2"/>
    <x v="7"/>
  </r>
  <r>
    <d v="2024-06-25T00:00:00"/>
    <x v="7"/>
    <x v="3"/>
    <x v="2"/>
    <n v="1449"/>
    <n v="1.2"/>
    <n v="1"/>
    <n v="1738.8"/>
    <n v="1449"/>
    <n v="289.79999999999899"/>
    <n v="1449"/>
    <n v="72.45"/>
    <n v="4.1666666666666671E-2"/>
    <x v="10"/>
  </r>
  <r>
    <d v="2024-04-08T00:00:00"/>
    <x v="10"/>
    <x v="0"/>
    <x v="2"/>
    <n v="5103"/>
    <n v="1.2"/>
    <n v="1"/>
    <n v="6123.5999999999904"/>
    <n v="5103"/>
    <n v="1020.59999999999"/>
    <n v="5103"/>
    <n v="255.15"/>
    <n v="4.1666666666666734E-2"/>
    <x v="0"/>
  </r>
  <r>
    <d v="2024-02-05T00:00:00"/>
    <x v="13"/>
    <x v="4"/>
    <x v="0"/>
    <n v="5923"/>
    <n v="1.25"/>
    <n v="1.05"/>
    <n v="7403.75"/>
    <n v="6219.15"/>
    <n v="1184.5999999999899"/>
    <n v="5923"/>
    <n v="296.15000000000003"/>
    <n v="4.0000000000000008E-2"/>
    <x v="11"/>
  </r>
  <r>
    <d v="2024-04-05T00:00:00"/>
    <x v="13"/>
    <x v="1"/>
    <x v="0"/>
    <n v="3350"/>
    <n v="1.25"/>
    <n v="1.05"/>
    <n v="4187.5"/>
    <n v="3517.5"/>
    <n v="670"/>
    <n v="3350"/>
    <n v="167.5"/>
    <n v="0.04"/>
    <x v="0"/>
  </r>
  <r>
    <d v="2024-05-31T00:00:00"/>
    <x v="8"/>
    <x v="3"/>
    <x v="0"/>
    <n v="665"/>
    <n v="1.25"/>
    <n v="1.05"/>
    <n v="831.25"/>
    <n v="698.25"/>
    <n v="133"/>
    <n v="665"/>
    <n v="33.25"/>
    <n v="0.04"/>
    <x v="6"/>
  </r>
  <r>
    <d v="2024-05-30T00:00:00"/>
    <x v="5"/>
    <x v="3"/>
    <x v="0"/>
    <n v="3986"/>
    <n v="1.25"/>
    <n v="1.05"/>
    <n v="4982.5"/>
    <n v="4185.3"/>
    <n v="797.19999999999902"/>
    <n v="3986"/>
    <n v="199.3"/>
    <n v="0.04"/>
    <x v="6"/>
  </r>
  <r>
    <d v="2024-07-08T00:00:00"/>
    <x v="5"/>
    <x v="3"/>
    <x v="0"/>
    <n v="3009"/>
    <n v="1.25"/>
    <n v="1.05"/>
    <n v="3761.25"/>
    <n v="3159.45"/>
    <n v="601.79999999999905"/>
    <n v="3009"/>
    <n v="150.45000000000002"/>
    <n v="4.0000000000000008E-2"/>
    <x v="4"/>
  </r>
  <r>
    <d v="2024-08-11T00:00:00"/>
    <x v="13"/>
    <x v="1"/>
    <x v="0"/>
    <n v="1419"/>
    <n v="1.25"/>
    <n v="1.05"/>
    <n v="1773.75"/>
    <n v="1489.95"/>
    <n v="283.79999999999899"/>
    <n v="1419"/>
    <n v="70.95"/>
    <n v="0.04"/>
    <x v="7"/>
  </r>
  <r>
    <d v="2024-02-06T00:00:00"/>
    <x v="2"/>
    <x v="1"/>
    <x v="2"/>
    <n v="613"/>
    <n v="1.2"/>
    <n v="1"/>
    <n v="735.6"/>
    <n v="613"/>
    <n v="122.6"/>
    <n v="613"/>
    <n v="30.650000000000002"/>
    <n v="4.1666666666666671E-2"/>
    <x v="11"/>
  </r>
  <r>
    <d v="2024-09-24T00:00:00"/>
    <x v="3"/>
    <x v="2"/>
    <x v="1"/>
    <n v="4004"/>
    <n v="0.9"/>
    <n v="0.7"/>
    <n v="3603.6"/>
    <n v="2802.7999999999902"/>
    <n v="800.8"/>
    <n v="4004"/>
    <n v="200.20000000000002"/>
    <n v="5.5555555555555559E-2"/>
    <x v="2"/>
  </r>
  <r>
    <d v="2024-07-01T00:00:00"/>
    <x v="8"/>
    <x v="4"/>
    <x v="0"/>
    <n v="1491"/>
    <n v="1.25"/>
    <n v="1.05"/>
    <n v="1863.75"/>
    <n v="1565.55"/>
    <n v="298.2"/>
    <n v="1491"/>
    <n v="74.55"/>
    <n v="0.04"/>
    <x v="4"/>
  </r>
  <r>
    <d v="2024-01-13T00:00:00"/>
    <x v="9"/>
    <x v="2"/>
    <x v="1"/>
    <n v="4339"/>
    <n v="0.9"/>
    <n v="0.7"/>
    <n v="3905.1"/>
    <n v="3037.2999999999902"/>
    <n v="867.8"/>
    <n v="4339"/>
    <n v="216.95000000000002"/>
    <n v="5.5555555555555559E-2"/>
    <x v="5"/>
  </r>
  <r>
    <d v="2024-10-05T00:00:00"/>
    <x v="13"/>
    <x v="4"/>
    <x v="0"/>
    <n v="1758"/>
    <n v="1.25"/>
    <n v="1.05"/>
    <n v="2197.5"/>
    <n v="1845.9"/>
    <n v="351.599999999999"/>
    <n v="1758"/>
    <n v="87.9"/>
    <n v="0.04"/>
    <x v="9"/>
  </r>
  <r>
    <d v="2024-08-04T00:00:00"/>
    <x v="11"/>
    <x v="1"/>
    <x v="0"/>
    <n v="3926"/>
    <n v="1.25"/>
    <n v="1.05"/>
    <n v="4907.5"/>
    <n v="4122.3"/>
    <n v="785.19999999999902"/>
    <n v="3926"/>
    <n v="196.3"/>
    <n v="0.04"/>
    <x v="7"/>
  </r>
  <r>
    <d v="2024-12-20T00:00:00"/>
    <x v="4"/>
    <x v="1"/>
    <x v="0"/>
    <n v="1014"/>
    <n v="1.25"/>
    <n v="1.05"/>
    <n v="1267.5"/>
    <n v="1064.7"/>
    <n v="202.79999999999899"/>
    <n v="1014"/>
    <n v="50.7"/>
    <n v="0.04"/>
    <x v="1"/>
  </r>
  <r>
    <d v="2024-12-26T00:00:00"/>
    <x v="4"/>
    <x v="2"/>
    <x v="2"/>
    <n v="5827"/>
    <n v="1.2"/>
    <n v="1"/>
    <n v="6992.4"/>
    <n v="5827"/>
    <n v="1165.3999999999901"/>
    <n v="5827"/>
    <n v="291.35000000000002"/>
    <n v="4.1666666666666671E-2"/>
    <x v="1"/>
  </r>
  <r>
    <d v="2024-10-12T00:00:00"/>
    <x v="7"/>
    <x v="0"/>
    <x v="1"/>
    <n v="5304"/>
    <n v="0.9"/>
    <n v="0.7"/>
    <n v="4773.6000000000004"/>
    <n v="3712.7999999999902"/>
    <n v="1060.8"/>
    <n v="5304"/>
    <n v="265.2"/>
    <n v="5.5555555555555546E-2"/>
    <x v="9"/>
  </r>
  <r>
    <d v="2024-09-29T00:00:00"/>
    <x v="10"/>
    <x v="2"/>
    <x v="2"/>
    <n v="3696"/>
    <n v="1.2"/>
    <n v="1"/>
    <n v="4435.2"/>
    <n v="3696"/>
    <n v="739.19999999999902"/>
    <n v="3696"/>
    <n v="184.8"/>
    <n v="4.1666666666666671E-2"/>
    <x v="2"/>
  </r>
  <r>
    <d v="2024-03-02T00:00:00"/>
    <x v="12"/>
    <x v="4"/>
    <x v="0"/>
    <n v="4934"/>
    <n v="1.25"/>
    <n v="1.05"/>
    <n v="6167.5"/>
    <n v="5180.7"/>
    <n v="986.8"/>
    <n v="4934"/>
    <n v="246.70000000000002"/>
    <n v="0.04"/>
    <x v="3"/>
  </r>
  <r>
    <d v="2024-03-24T00:00:00"/>
    <x v="12"/>
    <x v="2"/>
    <x v="2"/>
    <n v="3084"/>
    <n v="1.2"/>
    <n v="1"/>
    <n v="3700.7999999999902"/>
    <n v="3084"/>
    <n v="616.79999999999905"/>
    <n v="3084"/>
    <n v="154.20000000000002"/>
    <n v="4.1666666666666782E-2"/>
    <x v="3"/>
  </r>
  <r>
    <d v="2024-08-04T00:00:00"/>
    <x v="4"/>
    <x v="3"/>
    <x v="0"/>
    <n v="567"/>
    <n v="1.25"/>
    <n v="1.05"/>
    <n v="708.75"/>
    <n v="595.35"/>
    <n v="113.399999999999"/>
    <n v="567"/>
    <n v="28.35"/>
    <n v="0.04"/>
    <x v="7"/>
  </r>
  <r>
    <d v="2024-12-07T00:00:00"/>
    <x v="14"/>
    <x v="4"/>
    <x v="1"/>
    <n v="2096"/>
    <n v="0.9"/>
    <n v="0.7"/>
    <n v="1886.4"/>
    <n v="1467.19999999999"/>
    <n v="419.2"/>
    <n v="2096"/>
    <n v="104.80000000000001"/>
    <n v="5.5555555555555559E-2"/>
    <x v="1"/>
  </r>
  <r>
    <d v="2024-07-05T00:00:00"/>
    <x v="6"/>
    <x v="4"/>
    <x v="2"/>
    <n v="4978"/>
    <n v="1.2"/>
    <n v="1"/>
    <n v="5973.5999999999904"/>
    <n v="4978"/>
    <n v="995.599999999999"/>
    <n v="4978"/>
    <n v="248.9"/>
    <n v="4.1666666666666734E-2"/>
    <x v="4"/>
  </r>
  <r>
    <d v="2024-01-19T00:00:00"/>
    <x v="7"/>
    <x v="0"/>
    <x v="0"/>
    <n v="518"/>
    <n v="1.25"/>
    <n v="1.05"/>
    <n v="647.5"/>
    <n v="543.9"/>
    <n v="103.6"/>
    <n v="518"/>
    <n v="25.900000000000002"/>
    <n v="0.04"/>
    <x v="5"/>
  </r>
  <r>
    <d v="2024-06-25T00:00:00"/>
    <x v="12"/>
    <x v="1"/>
    <x v="2"/>
    <n v="3230"/>
    <n v="1.2"/>
    <n v="1"/>
    <n v="3876"/>
    <n v="3230"/>
    <n v="646"/>
    <n v="3230"/>
    <n v="161.5"/>
    <n v="4.1666666666666664E-2"/>
    <x v="10"/>
  </r>
  <r>
    <d v="2024-04-09T00:00:00"/>
    <x v="4"/>
    <x v="4"/>
    <x v="2"/>
    <n v="4021"/>
    <n v="1.2"/>
    <n v="1"/>
    <n v="4825.2"/>
    <n v="4021"/>
    <n v="804.19999999999902"/>
    <n v="4021"/>
    <n v="201.05"/>
    <n v="4.1666666666666671E-2"/>
    <x v="0"/>
  </r>
  <r>
    <d v="2024-08-20T00:00:00"/>
    <x v="10"/>
    <x v="1"/>
    <x v="0"/>
    <n v="1072"/>
    <n v="1.25"/>
    <n v="1.05"/>
    <n v="1340"/>
    <n v="1125.5999999999999"/>
    <n v="214.39999999999901"/>
    <n v="1072"/>
    <n v="53.6"/>
    <n v="0.04"/>
    <x v="7"/>
  </r>
  <r>
    <d v="2024-03-16T00:00:00"/>
    <x v="12"/>
    <x v="2"/>
    <x v="2"/>
    <n v="5895"/>
    <n v="1.2"/>
    <n v="1"/>
    <n v="7074"/>
    <n v="5895"/>
    <n v="1179"/>
    <n v="5895"/>
    <n v="294.75"/>
    <n v="4.1666666666666664E-2"/>
    <x v="3"/>
  </r>
  <r>
    <d v="2024-09-21T00:00:00"/>
    <x v="3"/>
    <x v="3"/>
    <x v="0"/>
    <n v="2758"/>
    <n v="1.25"/>
    <n v="1.05"/>
    <n v="3447.5"/>
    <n v="2895.9"/>
    <n v="551.599999999999"/>
    <n v="2758"/>
    <n v="137.9"/>
    <n v="0.04"/>
    <x v="2"/>
  </r>
  <r>
    <d v="2024-10-10T00:00:00"/>
    <x v="3"/>
    <x v="0"/>
    <x v="2"/>
    <n v="3402"/>
    <n v="1.2"/>
    <n v="1"/>
    <n v="4082.3999999999901"/>
    <n v="3402"/>
    <n v="680.39999999999895"/>
    <n v="3402"/>
    <n v="170.10000000000002"/>
    <n v="4.1666666666666775E-2"/>
    <x v="9"/>
  </r>
  <r>
    <d v="2024-07-24T00:00:00"/>
    <x v="5"/>
    <x v="1"/>
    <x v="2"/>
    <n v="1150"/>
    <n v="1.2"/>
    <n v="1"/>
    <n v="1380"/>
    <n v="1150"/>
    <n v="230"/>
    <n v="1150"/>
    <n v="57.5"/>
    <n v="4.1666666666666664E-2"/>
    <x v="4"/>
  </r>
  <r>
    <d v="2024-08-10T00:00:00"/>
    <x v="2"/>
    <x v="4"/>
    <x v="2"/>
    <n v="5589"/>
    <n v="1.2"/>
    <n v="1"/>
    <n v="6706.8"/>
    <n v="5589"/>
    <n v="1117.8"/>
    <n v="5589"/>
    <n v="279.45"/>
    <n v="4.1666666666666664E-2"/>
    <x v="7"/>
  </r>
  <r>
    <d v="2024-02-21T00:00:00"/>
    <x v="5"/>
    <x v="1"/>
    <x v="2"/>
    <n v="3087"/>
    <n v="1.2"/>
    <n v="1"/>
    <n v="3704.3999999999901"/>
    <n v="3087"/>
    <n v="617.39999999999895"/>
    <n v="3087"/>
    <n v="154.35000000000002"/>
    <n v="4.1666666666666782E-2"/>
    <x v="11"/>
  </r>
  <r>
    <d v="2024-12-04T00:00:00"/>
    <x v="9"/>
    <x v="4"/>
    <x v="2"/>
    <n v="3762"/>
    <n v="1.2"/>
    <n v="1"/>
    <n v="4514.3999999999996"/>
    <n v="3762"/>
    <n v="752.39999999999895"/>
    <n v="3762"/>
    <n v="188.10000000000002"/>
    <n v="4.1666666666666678E-2"/>
    <x v="1"/>
  </r>
  <r>
    <d v="2024-05-23T00:00:00"/>
    <x v="13"/>
    <x v="1"/>
    <x v="0"/>
    <n v="1838"/>
    <n v="1.25"/>
    <n v="1.05"/>
    <n v="2297.5"/>
    <n v="1929.9"/>
    <n v="367.599999999999"/>
    <n v="1838"/>
    <n v="91.9"/>
    <n v="0.04"/>
    <x v="6"/>
  </r>
  <r>
    <d v="2024-03-09T00:00:00"/>
    <x v="11"/>
    <x v="4"/>
    <x v="2"/>
    <n v="5496"/>
    <n v="1.2"/>
    <n v="1"/>
    <n v="6595.2"/>
    <n v="5496"/>
    <n v="1099.19999999999"/>
    <n v="5496"/>
    <n v="274.8"/>
    <n v="4.1666666666666671E-2"/>
    <x v="3"/>
  </r>
  <r>
    <d v="2024-04-08T00:00:00"/>
    <x v="5"/>
    <x v="2"/>
    <x v="0"/>
    <n v="4134"/>
    <n v="1.25"/>
    <n v="1.05"/>
    <n v="5167.5"/>
    <n v="4340.7"/>
    <n v="826.8"/>
    <n v="4134"/>
    <n v="206.70000000000002"/>
    <n v="0.04"/>
    <x v="0"/>
  </r>
  <r>
    <d v="2024-01-25T00:00:00"/>
    <x v="0"/>
    <x v="4"/>
    <x v="0"/>
    <n v="3327"/>
    <n v="1.25"/>
    <n v="1.05"/>
    <n v="4158.75"/>
    <n v="3493.35"/>
    <n v="665.39999999999895"/>
    <n v="3327"/>
    <n v="166.35000000000002"/>
    <n v="4.0000000000000008E-2"/>
    <x v="5"/>
  </r>
  <r>
    <d v="2024-02-22T00:00:00"/>
    <x v="12"/>
    <x v="4"/>
    <x v="0"/>
    <n v="5732"/>
    <n v="1.25"/>
    <n v="1.05"/>
    <n v="7165"/>
    <n v="6018.6"/>
    <n v="1146.3999999999901"/>
    <n v="5732"/>
    <n v="286.60000000000002"/>
    <n v="0.04"/>
    <x v="11"/>
  </r>
  <r>
    <d v="2024-05-30T00:00:00"/>
    <x v="14"/>
    <x v="3"/>
    <x v="0"/>
    <n v="2717"/>
    <n v="1.25"/>
    <n v="1.05"/>
    <n v="3396.25"/>
    <n v="2852.85"/>
    <n v="543.4"/>
    <n v="2717"/>
    <n v="135.85"/>
    <n v="0.04"/>
    <x v="6"/>
  </r>
  <r>
    <d v="2024-05-23T00:00:00"/>
    <x v="8"/>
    <x v="4"/>
    <x v="2"/>
    <n v="4039"/>
    <n v="1.2"/>
    <n v="1"/>
    <n v="4846.8"/>
    <n v="4039"/>
    <n v="807.8"/>
    <n v="4039"/>
    <n v="201.95000000000002"/>
    <n v="4.1666666666666671E-2"/>
    <x v="6"/>
  </r>
  <r>
    <d v="2024-02-26T00:00:00"/>
    <x v="4"/>
    <x v="3"/>
    <x v="0"/>
    <n v="1537"/>
    <n v="1.25"/>
    <n v="1.05"/>
    <n v="1921.25"/>
    <n v="1613.85"/>
    <n v="307.39999999999901"/>
    <n v="1537"/>
    <n v="76.850000000000009"/>
    <n v="4.0000000000000008E-2"/>
    <x v="11"/>
  </r>
  <r>
    <d v="2024-02-08T00:00:00"/>
    <x v="8"/>
    <x v="0"/>
    <x v="2"/>
    <n v="4883"/>
    <n v="1.2"/>
    <n v="1"/>
    <n v="5859.5999999999904"/>
    <n v="4883"/>
    <n v="976.599999999999"/>
    <n v="4883"/>
    <n v="244.15"/>
    <n v="4.1666666666666734E-2"/>
    <x v="11"/>
  </r>
  <r>
    <d v="2024-04-18T00:00:00"/>
    <x v="0"/>
    <x v="3"/>
    <x v="0"/>
    <n v="4478"/>
    <n v="1.25"/>
    <n v="1.05"/>
    <n v="5597.5"/>
    <n v="4701.8999999999996"/>
    <n v="895.599999999999"/>
    <n v="4478"/>
    <n v="223.9"/>
    <n v="0.04"/>
    <x v="0"/>
  </r>
  <r>
    <d v="2024-06-29T00:00:00"/>
    <x v="10"/>
    <x v="2"/>
    <x v="0"/>
    <n v="3461"/>
    <n v="1.25"/>
    <n v="1.05"/>
    <n v="4326.25"/>
    <n v="3634.05"/>
    <n v="692.19999999999902"/>
    <n v="3461"/>
    <n v="173.05"/>
    <n v="0.04"/>
    <x v="10"/>
  </r>
  <r>
    <d v="2024-02-11T00:00:00"/>
    <x v="5"/>
    <x v="3"/>
    <x v="2"/>
    <n v="3726"/>
    <n v="1.2"/>
    <n v="1"/>
    <n v="4471.2"/>
    <n v="3726"/>
    <n v="745.19999999999902"/>
    <n v="3726"/>
    <n v="186.3"/>
    <n v="4.1666666666666671E-2"/>
    <x v="11"/>
  </r>
  <r>
    <d v="2024-07-04T00:00:00"/>
    <x v="11"/>
    <x v="0"/>
    <x v="0"/>
    <n v="1598"/>
    <n v="1.25"/>
    <n v="1.05"/>
    <n v="1997.5"/>
    <n v="1677.9"/>
    <n v="319.599999999999"/>
    <n v="1598"/>
    <n v="79.900000000000006"/>
    <n v="0.04"/>
    <x v="4"/>
  </r>
  <r>
    <d v="2024-08-10T00:00:00"/>
    <x v="10"/>
    <x v="2"/>
    <x v="0"/>
    <n v="2824"/>
    <n v="1.25"/>
    <n v="1.05"/>
    <n v="3530"/>
    <n v="2965.2"/>
    <n v="564.79999999999905"/>
    <n v="2824"/>
    <n v="141.20000000000002"/>
    <n v="4.0000000000000008E-2"/>
    <x v="7"/>
  </r>
  <r>
    <d v="2024-05-01T00:00:00"/>
    <x v="6"/>
    <x v="1"/>
    <x v="2"/>
    <n v="1439"/>
    <n v="1.2"/>
    <n v="1"/>
    <n v="1726.8"/>
    <n v="1439"/>
    <n v="287.79999999999899"/>
    <n v="1439"/>
    <n v="71.95"/>
    <n v="4.1666666666666671E-2"/>
    <x v="6"/>
  </r>
  <r>
    <d v="2024-05-12T00:00:00"/>
    <x v="6"/>
    <x v="1"/>
    <x v="0"/>
    <n v="4216"/>
    <n v="1.25"/>
    <n v="1.05"/>
    <n v="5270"/>
    <n v="4426.8"/>
    <n v="843.19999999999902"/>
    <n v="4216"/>
    <n v="210.8"/>
    <n v="0.04"/>
    <x v="6"/>
  </r>
  <r>
    <d v="2024-06-11T00:00:00"/>
    <x v="8"/>
    <x v="3"/>
    <x v="2"/>
    <n v="3914"/>
    <n v="1.2"/>
    <n v="1"/>
    <n v="4696.8"/>
    <n v="3914"/>
    <n v="782.8"/>
    <n v="3914"/>
    <n v="195.70000000000002"/>
    <n v="4.1666666666666671E-2"/>
    <x v="10"/>
  </r>
  <r>
    <d v="2024-08-02T00:00:00"/>
    <x v="13"/>
    <x v="3"/>
    <x v="0"/>
    <n v="1948"/>
    <n v="1.25"/>
    <n v="1.05"/>
    <n v="2435"/>
    <n v="2045.4"/>
    <n v="389.599999999999"/>
    <n v="1948"/>
    <n v="97.4"/>
    <n v="0.04"/>
    <x v="7"/>
  </r>
  <r>
    <d v="2024-08-08T00:00:00"/>
    <x v="7"/>
    <x v="0"/>
    <x v="0"/>
    <n v="1070"/>
    <n v="1.25"/>
    <n v="1.05"/>
    <n v="1337.5"/>
    <n v="1123.5"/>
    <n v="214"/>
    <n v="1070"/>
    <n v="53.5"/>
    <n v="0.04"/>
    <x v="7"/>
  </r>
  <r>
    <d v="2024-08-22T00:00:00"/>
    <x v="13"/>
    <x v="0"/>
    <x v="2"/>
    <n v="3404"/>
    <n v="1.2"/>
    <n v="1"/>
    <n v="4084.7999999999902"/>
    <n v="3404"/>
    <n v="680.79999999999905"/>
    <n v="3404"/>
    <n v="170.20000000000002"/>
    <n v="4.1666666666666768E-2"/>
    <x v="7"/>
  </r>
  <r>
    <d v="2024-11-26T00:00:00"/>
    <x v="12"/>
    <x v="4"/>
    <x v="0"/>
    <n v="5596"/>
    <n v="1.25"/>
    <n v="1.05"/>
    <n v="6995"/>
    <n v="5875.8"/>
    <n v="1119.19999999999"/>
    <n v="5596"/>
    <n v="279.8"/>
    <n v="0.04"/>
    <x v="8"/>
  </r>
  <r>
    <d v="2024-05-25T00:00:00"/>
    <x v="0"/>
    <x v="0"/>
    <x v="0"/>
    <n v="5801"/>
    <n v="1.25"/>
    <n v="1.05"/>
    <n v="7251.25"/>
    <n v="6091.05"/>
    <n v="1160.19999999999"/>
    <n v="5801"/>
    <n v="290.05"/>
    <n v="0.04"/>
    <x v="6"/>
  </r>
  <r>
    <d v="2024-08-26T00:00:00"/>
    <x v="3"/>
    <x v="4"/>
    <x v="0"/>
    <n v="3005"/>
    <n v="1.25"/>
    <n v="1.05"/>
    <n v="3756.25"/>
    <n v="3155.25"/>
    <n v="601"/>
    <n v="3005"/>
    <n v="150.25"/>
    <n v="0.04"/>
    <x v="7"/>
  </r>
  <r>
    <d v="2024-03-16T00:00:00"/>
    <x v="9"/>
    <x v="2"/>
    <x v="0"/>
    <n v="1417"/>
    <n v="1.25"/>
    <n v="1.05"/>
    <n v="1771.25"/>
    <n v="1487.85"/>
    <n v="283.39999999999901"/>
    <n v="1417"/>
    <n v="70.850000000000009"/>
    <n v="4.0000000000000008E-2"/>
    <x v="3"/>
  </r>
  <r>
    <d v="2024-01-09T00:00:00"/>
    <x v="13"/>
    <x v="3"/>
    <x v="2"/>
    <n v="2374"/>
    <n v="1.2"/>
    <n v="1"/>
    <n v="2848.7999999999902"/>
    <n v="2374"/>
    <n v="474.79999999999899"/>
    <n v="2374"/>
    <n v="118.7"/>
    <n v="4.166666666666681E-2"/>
    <x v="5"/>
  </r>
  <r>
    <d v="2024-03-14T00:00:00"/>
    <x v="2"/>
    <x v="2"/>
    <x v="0"/>
    <n v="5428"/>
    <n v="1.25"/>
    <n v="1.05"/>
    <n v="6785"/>
    <n v="5699.4"/>
    <n v="1085.5999999999899"/>
    <n v="5428"/>
    <n v="271.40000000000003"/>
    <n v="4.0000000000000008E-2"/>
    <x v="3"/>
  </r>
  <r>
    <d v="2024-09-09T00:00:00"/>
    <x v="9"/>
    <x v="0"/>
    <x v="2"/>
    <n v="2178"/>
    <n v="1.2"/>
    <n v="1"/>
    <n v="2613.6"/>
    <n v="2178"/>
    <n v="435.599999999999"/>
    <n v="2178"/>
    <n v="108.9"/>
    <n v="4.1666666666666671E-2"/>
    <x v="2"/>
  </r>
  <r>
    <d v="2024-08-17T00:00:00"/>
    <x v="0"/>
    <x v="2"/>
    <x v="1"/>
    <n v="1115"/>
    <n v="0.9"/>
    <n v="0.7"/>
    <n v="1003.5"/>
    <n v="780.5"/>
    <n v="223"/>
    <n v="1115"/>
    <n v="55.75"/>
    <n v="5.5555555555555552E-2"/>
    <x v="7"/>
  </r>
  <r>
    <d v="2024-01-07T00:00:00"/>
    <x v="9"/>
    <x v="2"/>
    <x v="0"/>
    <n v="5001"/>
    <n v="1.25"/>
    <n v="1.05"/>
    <n v="6251.25"/>
    <n v="5251.05"/>
    <n v="1000.19999999999"/>
    <n v="5001"/>
    <n v="250.05"/>
    <n v="0.04"/>
    <x v="5"/>
  </r>
  <r>
    <d v="2024-06-22T00:00:00"/>
    <x v="11"/>
    <x v="2"/>
    <x v="1"/>
    <n v="2249"/>
    <n v="0.9"/>
    <n v="0.7"/>
    <n v="2024.1"/>
    <n v="1574.3"/>
    <n v="449.8"/>
    <n v="2249"/>
    <n v="112.45"/>
    <n v="5.5555555555555559E-2"/>
    <x v="10"/>
  </r>
  <r>
    <d v="2024-05-20T00:00:00"/>
    <x v="5"/>
    <x v="0"/>
    <x v="0"/>
    <n v="4325"/>
    <n v="1.25"/>
    <n v="1.05"/>
    <n v="5406.25"/>
    <n v="4541.25"/>
    <n v="865"/>
    <n v="4325"/>
    <n v="216.25"/>
    <n v="0.04"/>
    <x v="6"/>
  </r>
  <r>
    <d v="2024-06-16T00:00:00"/>
    <x v="11"/>
    <x v="2"/>
    <x v="1"/>
    <n v="4688"/>
    <n v="0.9"/>
    <n v="0.7"/>
    <n v="4219.2"/>
    <n v="3281.6"/>
    <n v="937.599999999999"/>
    <n v="4688"/>
    <n v="234.4"/>
    <n v="5.5555555555555559E-2"/>
    <x v="10"/>
  </r>
  <r>
    <d v="2024-06-18T00:00:00"/>
    <x v="9"/>
    <x v="4"/>
    <x v="0"/>
    <n v="2977"/>
    <n v="1.25"/>
    <n v="1.05"/>
    <n v="3721.25"/>
    <n v="3125.85"/>
    <n v="595.4"/>
    <n v="2977"/>
    <n v="148.85"/>
    <n v="0.04"/>
    <x v="10"/>
  </r>
  <r>
    <d v="2024-10-09T00:00:00"/>
    <x v="10"/>
    <x v="0"/>
    <x v="2"/>
    <n v="5249"/>
    <n v="1.2"/>
    <n v="1"/>
    <n v="6298.8"/>
    <n v="5249"/>
    <n v="1049.8"/>
    <n v="5249"/>
    <n v="262.45"/>
    <n v="4.1666666666666664E-2"/>
    <x v="9"/>
  </r>
  <r>
    <d v="2024-05-01T00:00:00"/>
    <x v="6"/>
    <x v="2"/>
    <x v="0"/>
    <n v="4005"/>
    <n v="1.25"/>
    <n v="1.05"/>
    <n v="5006.25"/>
    <n v="4205.25"/>
    <n v="801"/>
    <n v="4005"/>
    <n v="200.25"/>
    <n v="0.04"/>
    <x v="6"/>
  </r>
  <r>
    <d v="2024-07-12T00:00:00"/>
    <x v="9"/>
    <x v="0"/>
    <x v="0"/>
    <n v="3975"/>
    <n v="1.25"/>
    <n v="1.05"/>
    <n v="4968.75"/>
    <n v="4173.75"/>
    <n v="795"/>
    <n v="3975"/>
    <n v="198.75"/>
    <n v="0.04"/>
    <x v="4"/>
  </r>
  <r>
    <d v="2024-01-05T00:00:00"/>
    <x v="11"/>
    <x v="1"/>
    <x v="2"/>
    <n v="5029"/>
    <n v="1.2"/>
    <n v="1"/>
    <n v="6034.8"/>
    <n v="5029"/>
    <n v="1005.8"/>
    <n v="5029"/>
    <n v="251.45000000000002"/>
    <n v="4.1666666666666671E-2"/>
    <x v="5"/>
  </r>
  <r>
    <d v="2024-01-29T00:00:00"/>
    <x v="14"/>
    <x v="4"/>
    <x v="2"/>
    <n v="1635"/>
    <n v="1.2"/>
    <n v="1"/>
    <n v="1962"/>
    <n v="1635"/>
    <n v="327"/>
    <n v="1635"/>
    <n v="81.75"/>
    <n v="4.1666666666666664E-2"/>
    <x v="5"/>
  </r>
  <r>
    <d v="2024-06-13T00:00:00"/>
    <x v="0"/>
    <x v="2"/>
    <x v="0"/>
    <n v="4500"/>
    <n v="1.25"/>
    <n v="1.05"/>
    <n v="5625"/>
    <n v="4725"/>
    <n v="900"/>
    <n v="4500"/>
    <n v="225"/>
    <n v="0.04"/>
    <x v="10"/>
  </r>
  <r>
    <d v="2024-12-04T00:00:00"/>
    <x v="10"/>
    <x v="1"/>
    <x v="0"/>
    <n v="874"/>
    <n v="1.25"/>
    <n v="1.05"/>
    <n v="1092.5"/>
    <n v="917.7"/>
    <n v="174.79999999999899"/>
    <n v="874"/>
    <n v="43.7"/>
    <n v="0.04"/>
    <x v="1"/>
  </r>
  <r>
    <d v="2024-05-15T00:00:00"/>
    <x v="11"/>
    <x v="1"/>
    <x v="2"/>
    <n v="5662"/>
    <n v="1.2"/>
    <n v="1"/>
    <n v="6794.4"/>
    <n v="5662"/>
    <n v="1132.3999999999901"/>
    <n v="5662"/>
    <n v="283.10000000000002"/>
    <n v="4.1666666666666671E-2"/>
    <x v="6"/>
  </r>
  <r>
    <d v="2024-12-30T00:00:00"/>
    <x v="13"/>
    <x v="0"/>
    <x v="2"/>
    <n v="706"/>
    <n v="1.2"/>
    <n v="1"/>
    <n v="847.19999999999902"/>
    <n v="706"/>
    <n v="141.19999999999899"/>
    <n v="706"/>
    <n v="35.300000000000004"/>
    <n v="4.166666666666672E-2"/>
    <x v="1"/>
  </r>
  <r>
    <d v="2024-11-16T00:00:00"/>
    <x v="4"/>
    <x v="1"/>
    <x v="1"/>
    <n v="5375"/>
    <n v="0.9"/>
    <n v="0.7"/>
    <n v="4837.5"/>
    <n v="3762.49999999999"/>
    <n v="1075"/>
    <n v="5375"/>
    <n v="268.75"/>
    <n v="5.5555555555555552E-2"/>
    <x v="8"/>
  </r>
  <r>
    <d v="2024-12-07T00:00:00"/>
    <x v="8"/>
    <x v="4"/>
    <x v="2"/>
    <n v="1819"/>
    <n v="1.2"/>
    <n v="1"/>
    <n v="2182.7999999999902"/>
    <n v="1819"/>
    <n v="363.79999999999899"/>
    <n v="1819"/>
    <n v="90.95"/>
    <n v="4.1666666666666859E-2"/>
    <x v="1"/>
  </r>
  <r>
    <d v="2024-05-24T00:00:00"/>
    <x v="7"/>
    <x v="4"/>
    <x v="1"/>
    <n v="1641"/>
    <n v="0.9"/>
    <n v="0.7"/>
    <n v="1476.9"/>
    <n v="1148.69999999999"/>
    <n v="328.2"/>
    <n v="1641"/>
    <n v="82.050000000000011"/>
    <n v="5.5555555555555559E-2"/>
    <x v="6"/>
  </r>
  <r>
    <d v="2024-11-22T00:00:00"/>
    <x v="3"/>
    <x v="3"/>
    <x v="2"/>
    <n v="5127"/>
    <n v="1.2"/>
    <n v="1"/>
    <n v="6152.4"/>
    <n v="5127"/>
    <n v="1025.3999999999901"/>
    <n v="5127"/>
    <n v="256.35000000000002"/>
    <n v="4.1666666666666671E-2"/>
    <x v="8"/>
  </r>
  <r>
    <d v="2024-08-04T00:00:00"/>
    <x v="11"/>
    <x v="4"/>
    <x v="0"/>
    <n v="3190"/>
    <n v="1.25"/>
    <n v="1.05"/>
    <n v="3987.5"/>
    <n v="3349.5"/>
    <n v="638"/>
    <n v="3190"/>
    <n v="159.5"/>
    <n v="0.04"/>
    <x v="7"/>
  </r>
  <r>
    <d v="2024-10-27T00:00:00"/>
    <x v="2"/>
    <x v="1"/>
    <x v="0"/>
    <n v="3755"/>
    <n v="1.25"/>
    <n v="1.05"/>
    <n v="4693.75"/>
    <n v="3942.75"/>
    <n v="751"/>
    <n v="3755"/>
    <n v="187.75"/>
    <n v="0.04"/>
    <x v="9"/>
  </r>
  <r>
    <d v="2024-05-11T00:00:00"/>
    <x v="7"/>
    <x v="4"/>
    <x v="2"/>
    <n v="589"/>
    <n v="1.2"/>
    <n v="1"/>
    <n v="706.8"/>
    <n v="589"/>
    <n v="117.799999999999"/>
    <n v="589"/>
    <n v="29.450000000000003"/>
    <n v="4.1666666666666671E-2"/>
    <x v="6"/>
  </r>
  <r>
    <d v="2024-10-18T00:00:00"/>
    <x v="0"/>
    <x v="0"/>
    <x v="2"/>
    <n v="5713"/>
    <n v="1.2"/>
    <n v="1"/>
    <n v="6855.5999999999904"/>
    <n v="5713"/>
    <n v="1142.5999999999899"/>
    <n v="5713"/>
    <n v="285.65000000000003"/>
    <n v="4.1666666666666727E-2"/>
    <x v="9"/>
  </r>
  <r>
    <d v="2024-03-10T00:00:00"/>
    <x v="14"/>
    <x v="3"/>
    <x v="0"/>
    <n v="4608"/>
    <n v="1.25"/>
    <n v="1.05"/>
    <n v="5760"/>
    <n v="4838.3999999999996"/>
    <n v="921.599999999999"/>
    <n v="4608"/>
    <n v="230.4"/>
    <n v="0.04"/>
    <x v="3"/>
  </r>
  <r>
    <d v="2024-09-08T00:00:00"/>
    <x v="1"/>
    <x v="1"/>
    <x v="0"/>
    <n v="3520"/>
    <n v="1.25"/>
    <n v="1.05"/>
    <n v="4400"/>
    <n v="3696"/>
    <n v="704"/>
    <n v="3520"/>
    <n v="176"/>
    <n v="0.04"/>
    <x v="2"/>
  </r>
  <r>
    <d v="2024-10-01T00:00:00"/>
    <x v="11"/>
    <x v="3"/>
    <x v="1"/>
    <n v="2357"/>
    <n v="0.9"/>
    <n v="0.7"/>
    <n v="2121.3000000000002"/>
    <n v="1649.8999999999901"/>
    <n v="471.4"/>
    <n v="2357"/>
    <n v="117.85000000000001"/>
    <n v="5.5555555555555552E-2"/>
    <x v="9"/>
  </r>
  <r>
    <d v="2024-12-29T00:00:00"/>
    <x v="4"/>
    <x v="1"/>
    <x v="2"/>
    <n v="1304"/>
    <n v="1.2"/>
    <n v="1"/>
    <n v="1564.8"/>
    <n v="1304"/>
    <n v="260.79999999999899"/>
    <n v="1304"/>
    <n v="65.2"/>
    <n v="4.1666666666666671E-2"/>
    <x v="1"/>
  </r>
  <r>
    <d v="2024-06-30T00:00:00"/>
    <x v="7"/>
    <x v="0"/>
    <x v="0"/>
    <n v="1444"/>
    <n v="1.25"/>
    <n v="1.05"/>
    <n v="1805"/>
    <n v="1516.2"/>
    <n v="288.79999999999899"/>
    <n v="1444"/>
    <n v="72.2"/>
    <n v="0.04"/>
    <x v="10"/>
  </r>
  <r>
    <d v="2024-06-15T00:00:00"/>
    <x v="3"/>
    <x v="3"/>
    <x v="0"/>
    <n v="3289"/>
    <n v="1.25"/>
    <n v="1.05"/>
    <n v="4111.25"/>
    <n v="3453.45"/>
    <n v="657.79999999999905"/>
    <n v="3289"/>
    <n v="164.45000000000002"/>
    <n v="0.04"/>
    <x v="10"/>
  </r>
  <r>
    <d v="2024-03-31T00:00:00"/>
    <x v="9"/>
    <x v="2"/>
    <x v="0"/>
    <n v="4375"/>
    <n v="1.25"/>
    <n v="1.05"/>
    <n v="5468.75"/>
    <n v="4593.75"/>
    <n v="875"/>
    <n v="4375"/>
    <n v="218.75"/>
    <n v="0.04"/>
    <x v="3"/>
  </r>
  <r>
    <d v="2024-07-20T00:00:00"/>
    <x v="11"/>
    <x v="1"/>
    <x v="0"/>
    <n v="2110"/>
    <n v="1.25"/>
    <n v="1.05"/>
    <n v="2637.5"/>
    <n v="2215.5"/>
    <n v="422"/>
    <n v="2110"/>
    <n v="105.5"/>
    <n v="0.04"/>
    <x v="4"/>
  </r>
  <r>
    <d v="2024-12-11T00:00:00"/>
    <x v="5"/>
    <x v="2"/>
    <x v="0"/>
    <n v="3423"/>
    <n v="1.25"/>
    <n v="1.05"/>
    <n v="4278.75"/>
    <n v="3594.15"/>
    <n v="684.599999999999"/>
    <n v="3423"/>
    <n v="171.15"/>
    <n v="0.04"/>
    <x v="1"/>
  </r>
  <r>
    <d v="2024-01-19T00:00:00"/>
    <x v="14"/>
    <x v="3"/>
    <x v="0"/>
    <n v="4382"/>
    <n v="1.25"/>
    <n v="1.05"/>
    <n v="5477.5"/>
    <n v="4601.1000000000004"/>
    <n v="876.39999999999895"/>
    <n v="4382"/>
    <n v="219.10000000000002"/>
    <n v="0.04"/>
    <x v="5"/>
  </r>
  <r>
    <d v="2024-02-08T00:00:00"/>
    <x v="0"/>
    <x v="2"/>
    <x v="2"/>
    <n v="3721"/>
    <n v="1.2"/>
    <n v="1"/>
    <n v="4465.2"/>
    <n v="3721"/>
    <n v="744.19999999999902"/>
    <n v="3721"/>
    <n v="186.05"/>
    <n v="4.1666666666666671E-2"/>
    <x v="11"/>
  </r>
  <r>
    <d v="2024-05-05T00:00:00"/>
    <x v="8"/>
    <x v="2"/>
    <x v="0"/>
    <n v="5648"/>
    <n v="1.25"/>
    <n v="1.05"/>
    <n v="7060"/>
    <n v="5930.4"/>
    <n v="1129.5999999999899"/>
    <n v="5648"/>
    <n v="282.40000000000003"/>
    <n v="4.0000000000000008E-2"/>
    <x v="6"/>
  </r>
  <r>
    <d v="2024-06-21T00:00:00"/>
    <x v="4"/>
    <x v="3"/>
    <x v="2"/>
    <n v="4891"/>
    <n v="1.2"/>
    <n v="1"/>
    <n v="5869.2"/>
    <n v="4891"/>
    <n v="978.19999999999902"/>
    <n v="4891"/>
    <n v="244.55"/>
    <n v="4.1666666666666671E-2"/>
    <x v="10"/>
  </r>
  <r>
    <d v="2024-05-20T00:00:00"/>
    <x v="12"/>
    <x v="0"/>
    <x v="1"/>
    <n v="5521"/>
    <n v="0.9"/>
    <n v="0.7"/>
    <n v="4968.8999999999996"/>
    <n v="3864.7"/>
    <n v="1104.2"/>
    <n v="5521"/>
    <n v="276.05"/>
    <n v="5.5555555555555559E-2"/>
    <x v="6"/>
  </r>
  <r>
    <d v="2024-08-29T00:00:00"/>
    <x v="12"/>
    <x v="2"/>
    <x v="0"/>
    <n v="5235"/>
    <n v="1.25"/>
    <n v="1.05"/>
    <n v="6543.75"/>
    <n v="5496.75"/>
    <n v="1047"/>
    <n v="5235"/>
    <n v="261.75"/>
    <n v="0.04"/>
    <x v="7"/>
  </r>
  <r>
    <d v="2024-08-07T00:00:00"/>
    <x v="2"/>
    <x v="2"/>
    <x v="2"/>
    <n v="2887"/>
    <n v="1.2"/>
    <n v="1"/>
    <n v="3464.4"/>
    <n v="2887"/>
    <n v="577.4"/>
    <n v="2887"/>
    <n v="144.35"/>
    <n v="4.1666666666666664E-2"/>
    <x v="7"/>
  </r>
  <r>
    <d v="2024-05-05T00:00:00"/>
    <x v="7"/>
    <x v="0"/>
    <x v="0"/>
    <n v="5223"/>
    <n v="1.25"/>
    <n v="1.05"/>
    <n v="6528.75"/>
    <n v="5484.15"/>
    <n v="1044.5999999999899"/>
    <n v="5223"/>
    <n v="261.15000000000003"/>
    <n v="4.0000000000000008E-2"/>
    <x v="6"/>
  </r>
  <r>
    <d v="2024-02-27T00:00:00"/>
    <x v="4"/>
    <x v="2"/>
    <x v="1"/>
    <n v="5763"/>
    <n v="0.9"/>
    <n v="0.7"/>
    <n v="5186.7"/>
    <n v="4034.1"/>
    <n v="1152.5999999999999"/>
    <n v="5763"/>
    <n v="288.15000000000003"/>
    <n v="5.5555555555555566E-2"/>
    <x v="11"/>
  </r>
  <r>
    <d v="2024-05-27T00:00:00"/>
    <x v="10"/>
    <x v="2"/>
    <x v="0"/>
    <n v="1441"/>
    <n v="1.25"/>
    <n v="1.05"/>
    <n v="1801.25"/>
    <n v="1513.05"/>
    <n v="288.2"/>
    <n v="1441"/>
    <n v="72.05"/>
    <n v="0.04"/>
    <x v="6"/>
  </r>
  <r>
    <d v="2024-11-12T00:00:00"/>
    <x v="3"/>
    <x v="2"/>
    <x v="2"/>
    <n v="5425"/>
    <n v="1.2"/>
    <n v="1"/>
    <n v="6510"/>
    <n v="5425"/>
    <n v="1085"/>
    <n v="5425"/>
    <n v="271.25"/>
    <n v="4.1666666666666664E-2"/>
    <x v="8"/>
  </r>
  <r>
    <d v="2024-12-26T00:00:00"/>
    <x v="8"/>
    <x v="4"/>
    <x v="2"/>
    <n v="3066"/>
    <n v="1.2"/>
    <n v="1"/>
    <n v="3679.2"/>
    <n v="3066"/>
    <n v="613.19999999999902"/>
    <n v="3066"/>
    <n v="153.30000000000001"/>
    <n v="4.1666666666666671E-2"/>
    <x v="1"/>
  </r>
  <r>
    <d v="2024-01-01T00:00:00"/>
    <x v="9"/>
    <x v="0"/>
    <x v="0"/>
    <n v="1475"/>
    <n v="1.25"/>
    <n v="1.05"/>
    <n v="1843.75"/>
    <n v="1548.75"/>
    <n v="295"/>
    <n v="1475"/>
    <n v="73.75"/>
    <n v="0.04"/>
    <x v="5"/>
  </r>
  <r>
    <d v="2024-12-13T00:00:00"/>
    <x v="11"/>
    <x v="2"/>
    <x v="0"/>
    <n v="1454"/>
    <n v="1.25"/>
    <n v="1.05"/>
    <n v="1817.5"/>
    <n v="1526.7"/>
    <n v="290.79999999999899"/>
    <n v="1454"/>
    <n v="72.7"/>
    <n v="0.04"/>
    <x v="1"/>
  </r>
  <r>
    <d v="2024-07-08T00:00:00"/>
    <x v="11"/>
    <x v="0"/>
    <x v="2"/>
    <n v="1762"/>
    <n v="1.2"/>
    <n v="1"/>
    <n v="2114.4"/>
    <n v="1762"/>
    <n v="352.4"/>
    <n v="1762"/>
    <n v="88.100000000000009"/>
    <n v="4.1666666666666671E-2"/>
    <x v="4"/>
  </r>
  <r>
    <d v="2024-07-09T00:00:00"/>
    <x v="12"/>
    <x v="1"/>
    <x v="2"/>
    <n v="5547"/>
    <n v="1.2"/>
    <n v="1"/>
    <n v="6656.4"/>
    <n v="5547"/>
    <n v="1109.3999999999901"/>
    <n v="5547"/>
    <n v="277.35000000000002"/>
    <n v="4.1666666666666671E-2"/>
    <x v="4"/>
  </r>
  <r>
    <d v="2024-11-07T00:00:00"/>
    <x v="11"/>
    <x v="1"/>
    <x v="0"/>
    <n v="1443"/>
    <n v="1.25"/>
    <n v="1.05"/>
    <n v="1803.75"/>
    <n v="1515.15"/>
    <n v="288.599999999999"/>
    <n v="1443"/>
    <n v="72.150000000000006"/>
    <n v="0.04"/>
    <x v="8"/>
  </r>
  <r>
    <d v="2024-04-26T00:00:00"/>
    <x v="0"/>
    <x v="2"/>
    <x v="2"/>
    <n v="2702"/>
    <n v="1.2"/>
    <n v="1"/>
    <n v="3242.4"/>
    <n v="2702"/>
    <n v="540.4"/>
    <n v="2702"/>
    <n v="135.1"/>
    <n v="4.1666666666666664E-2"/>
    <x v="0"/>
  </r>
  <r>
    <d v="2024-05-13T00:00:00"/>
    <x v="8"/>
    <x v="0"/>
    <x v="0"/>
    <n v="5800"/>
    <n v="1.25"/>
    <n v="1.05"/>
    <n v="7250"/>
    <n v="6090"/>
    <n v="1160"/>
    <n v="5800"/>
    <n v="290"/>
    <n v="0.04"/>
    <x v="6"/>
  </r>
  <r>
    <d v="2024-02-27T00:00:00"/>
    <x v="5"/>
    <x v="0"/>
    <x v="2"/>
    <n v="3827"/>
    <n v="1.2"/>
    <n v="1"/>
    <n v="4592.3999999999996"/>
    <n v="3827"/>
    <n v="765.39999999999895"/>
    <n v="3827"/>
    <n v="191.35000000000002"/>
    <n v="4.1666666666666678E-2"/>
    <x v="11"/>
  </r>
  <r>
    <d v="2024-02-13T00:00:00"/>
    <x v="1"/>
    <x v="0"/>
    <x v="0"/>
    <n v="5692"/>
    <n v="1.25"/>
    <n v="1.05"/>
    <n v="7115"/>
    <n v="5976.6"/>
    <n v="1138.3999999999901"/>
    <n v="5692"/>
    <n v="284.60000000000002"/>
    <n v="0.04"/>
    <x v="11"/>
  </r>
  <r>
    <d v="2024-06-21T00:00:00"/>
    <x v="2"/>
    <x v="4"/>
    <x v="1"/>
    <n v="4774"/>
    <n v="0.9"/>
    <n v="0.7"/>
    <n v="4296.6000000000004"/>
    <n v="3341.7999999999902"/>
    <n v="954.8"/>
    <n v="4774"/>
    <n v="238.70000000000002"/>
    <n v="5.5555555555555552E-2"/>
    <x v="10"/>
  </r>
  <r>
    <d v="2024-06-08T00:00:00"/>
    <x v="6"/>
    <x v="1"/>
    <x v="0"/>
    <n v="2759"/>
    <n v="1.25"/>
    <n v="1.05"/>
    <n v="3448.75"/>
    <n v="2896.95"/>
    <n v="551.79999999999905"/>
    <n v="2759"/>
    <n v="137.95000000000002"/>
    <n v="4.0000000000000008E-2"/>
    <x v="10"/>
  </r>
  <r>
    <d v="2024-06-21T00:00:00"/>
    <x v="13"/>
    <x v="0"/>
    <x v="0"/>
    <n v="2328"/>
    <n v="1.25"/>
    <n v="1.05"/>
    <n v="2910"/>
    <n v="2444.4"/>
    <n v="465.599999999999"/>
    <n v="2328"/>
    <n v="116.4"/>
    <n v="0.04"/>
    <x v="10"/>
  </r>
  <r>
    <d v="2024-11-12T00:00:00"/>
    <x v="2"/>
    <x v="0"/>
    <x v="0"/>
    <n v="1757"/>
    <n v="1.25"/>
    <n v="1.05"/>
    <n v="2196.25"/>
    <n v="1844.85"/>
    <n v="351.39999999999901"/>
    <n v="1757"/>
    <n v="87.850000000000009"/>
    <n v="0.04"/>
    <x v="8"/>
  </r>
  <r>
    <d v="2024-10-29T00:00:00"/>
    <x v="7"/>
    <x v="4"/>
    <x v="0"/>
    <n v="964"/>
    <n v="1.25"/>
    <n v="1.05"/>
    <n v="1205"/>
    <n v="1012.2"/>
    <n v="192.79999999999899"/>
    <n v="964"/>
    <n v="48.2"/>
    <n v="0.04"/>
    <x v="9"/>
  </r>
  <r>
    <d v="2024-05-28T00:00:00"/>
    <x v="5"/>
    <x v="4"/>
    <x v="2"/>
    <n v="3794"/>
    <n v="1.2"/>
    <n v="1"/>
    <n v="4552.8"/>
    <n v="3794"/>
    <n v="758.8"/>
    <n v="3794"/>
    <n v="189.70000000000002"/>
    <n v="4.1666666666666671E-2"/>
    <x v="6"/>
  </r>
  <r>
    <d v="2024-03-20T00:00:00"/>
    <x v="2"/>
    <x v="0"/>
    <x v="0"/>
    <n v="1730"/>
    <n v="1.25"/>
    <n v="1.05"/>
    <n v="2162.5"/>
    <n v="1816.5"/>
    <n v="346"/>
    <n v="1730"/>
    <n v="86.5"/>
    <n v="0.04"/>
    <x v="3"/>
  </r>
  <r>
    <d v="2024-07-31T00:00:00"/>
    <x v="9"/>
    <x v="3"/>
    <x v="2"/>
    <n v="3154"/>
    <n v="1.2"/>
    <n v="1"/>
    <n v="3784.7999999999902"/>
    <n v="3154"/>
    <n v="630.79999999999905"/>
    <n v="3154"/>
    <n v="157.70000000000002"/>
    <n v="4.1666666666666782E-2"/>
    <x v="4"/>
  </r>
  <r>
    <d v="2024-07-21T00:00:00"/>
    <x v="12"/>
    <x v="0"/>
    <x v="0"/>
    <n v="1384"/>
    <n v="1.25"/>
    <n v="1.05"/>
    <n v="1730"/>
    <n v="1453.2"/>
    <n v="276.79999999999899"/>
    <n v="1384"/>
    <n v="69.2"/>
    <n v="0.04"/>
    <x v="4"/>
  </r>
  <r>
    <d v="2024-09-08T00:00:00"/>
    <x v="14"/>
    <x v="0"/>
    <x v="0"/>
    <n v="4305"/>
    <n v="1.25"/>
    <n v="1.05"/>
    <n v="5381.25"/>
    <n v="4520.25"/>
    <n v="861"/>
    <n v="4305"/>
    <n v="215.25"/>
    <n v="0.04"/>
    <x v="2"/>
  </r>
  <r>
    <d v="2024-08-16T00:00:00"/>
    <x v="7"/>
    <x v="4"/>
    <x v="0"/>
    <n v="5928"/>
    <n v="1.25"/>
    <n v="1.05"/>
    <n v="7410"/>
    <n v="6224.4"/>
    <n v="1185.5999999999899"/>
    <n v="5928"/>
    <n v="296.40000000000003"/>
    <n v="4.0000000000000008E-2"/>
    <x v="7"/>
  </r>
  <r>
    <d v="2024-06-12T00:00:00"/>
    <x v="11"/>
    <x v="4"/>
    <x v="0"/>
    <n v="5540"/>
    <n v="1.25"/>
    <n v="1.05"/>
    <n v="6925"/>
    <n v="5817"/>
    <n v="1108"/>
    <n v="5540"/>
    <n v="277"/>
    <n v="0.04"/>
    <x v="10"/>
  </r>
  <r>
    <d v="2024-08-14T00:00:00"/>
    <x v="4"/>
    <x v="0"/>
    <x v="0"/>
    <n v="4356"/>
    <n v="1.25"/>
    <n v="1.05"/>
    <n v="5445"/>
    <n v="4573.8"/>
    <n v="871.19999999999902"/>
    <n v="4356"/>
    <n v="217.8"/>
    <n v="0.04"/>
    <x v="7"/>
  </r>
  <r>
    <d v="2024-05-26T00:00:00"/>
    <x v="9"/>
    <x v="0"/>
    <x v="0"/>
    <n v="3635"/>
    <n v="1.25"/>
    <n v="1.05"/>
    <n v="4543.75"/>
    <n v="3816.75"/>
    <n v="727"/>
    <n v="3635"/>
    <n v="181.75"/>
    <n v="0.04"/>
    <x v="6"/>
  </r>
  <r>
    <d v="2024-01-20T00:00:00"/>
    <x v="7"/>
    <x v="0"/>
    <x v="0"/>
    <n v="1424"/>
    <n v="1.25"/>
    <n v="1.05"/>
    <n v="1780"/>
    <n v="1495.2"/>
    <n v="284.79999999999899"/>
    <n v="1424"/>
    <n v="71.2"/>
    <n v="0.04"/>
    <x v="5"/>
  </r>
  <r>
    <d v="2024-02-16T00:00:00"/>
    <x v="14"/>
    <x v="4"/>
    <x v="0"/>
    <n v="5089"/>
    <n v="1.25"/>
    <n v="1.05"/>
    <n v="6361.25"/>
    <n v="5343.45"/>
    <n v="1017.8"/>
    <n v="5089"/>
    <n v="254.45000000000002"/>
    <n v="0.04"/>
    <x v="11"/>
  </r>
  <r>
    <d v="2024-08-20T00:00:00"/>
    <x v="3"/>
    <x v="0"/>
    <x v="2"/>
    <n v="2046"/>
    <n v="1.2"/>
    <n v="1"/>
    <n v="2455.1999999999998"/>
    <n v="2046"/>
    <n v="409.19999999999902"/>
    <n v="2046"/>
    <n v="102.30000000000001"/>
    <n v="4.1666666666666671E-2"/>
    <x v="7"/>
  </r>
  <r>
    <d v="2024-10-31T00:00:00"/>
    <x v="11"/>
    <x v="0"/>
    <x v="2"/>
    <n v="1594"/>
    <n v="1.2"/>
    <n v="1"/>
    <n v="1912.8"/>
    <n v="1594"/>
    <n v="318.79999999999899"/>
    <n v="1594"/>
    <n v="79.7"/>
    <n v="4.1666666666666671E-2"/>
    <x v="9"/>
  </r>
  <r>
    <d v="2024-01-14T00:00:00"/>
    <x v="2"/>
    <x v="2"/>
    <x v="0"/>
    <n v="2911"/>
    <n v="1.25"/>
    <n v="1.05"/>
    <n v="3638.75"/>
    <n v="3056.55"/>
    <n v="582.19999999999902"/>
    <n v="2911"/>
    <n v="145.55000000000001"/>
    <n v="0.04"/>
    <x v="5"/>
  </r>
  <r>
    <d v="2024-05-22T00:00:00"/>
    <x v="2"/>
    <x v="3"/>
    <x v="0"/>
    <n v="3117"/>
    <n v="1.25"/>
    <n v="1.05"/>
    <n v="3896.25"/>
    <n v="3272.85"/>
    <n v="623.39999999999895"/>
    <n v="3117"/>
    <n v="155.85000000000002"/>
    <n v="4.0000000000000008E-2"/>
    <x v="6"/>
  </r>
  <r>
    <d v="2024-01-01T00:00:00"/>
    <x v="7"/>
    <x v="1"/>
    <x v="1"/>
    <n v="1262"/>
    <n v="0.9"/>
    <n v="0.7"/>
    <n v="1135.8"/>
    <n v="883.4"/>
    <n v="252.39999999999901"/>
    <n v="1262"/>
    <n v="63.1"/>
    <n v="5.5555555555555559E-2"/>
    <x v="5"/>
  </r>
  <r>
    <d v="2024-02-23T00:00:00"/>
    <x v="4"/>
    <x v="3"/>
    <x v="2"/>
    <n v="2823"/>
    <n v="1.2"/>
    <n v="1"/>
    <n v="3387.6"/>
    <n v="2823"/>
    <n v="564.599999999999"/>
    <n v="2823"/>
    <n v="141.15"/>
    <n v="4.1666666666666671E-2"/>
    <x v="11"/>
  </r>
  <r>
    <d v="2024-09-15T00:00:00"/>
    <x v="3"/>
    <x v="2"/>
    <x v="2"/>
    <n v="4645"/>
    <n v="1.2"/>
    <n v="1"/>
    <n v="5574"/>
    <n v="4645"/>
    <n v="929"/>
    <n v="4645"/>
    <n v="232.25"/>
    <n v="4.1666666666666664E-2"/>
    <x v="2"/>
  </r>
  <r>
    <d v="2024-05-23T00:00:00"/>
    <x v="11"/>
    <x v="1"/>
    <x v="0"/>
    <n v="3275"/>
    <n v="1.25"/>
    <n v="1.05"/>
    <n v="4093.75"/>
    <n v="3438.75"/>
    <n v="655"/>
    <n v="3275"/>
    <n v="163.75"/>
    <n v="0.04"/>
    <x v="6"/>
  </r>
  <r>
    <d v="2024-01-12T00:00:00"/>
    <x v="14"/>
    <x v="0"/>
    <x v="2"/>
    <n v="5501"/>
    <n v="1.2"/>
    <n v="1"/>
    <n v="6601.2"/>
    <n v="5501"/>
    <n v="1100.19999999999"/>
    <n v="5501"/>
    <n v="275.05"/>
    <n v="4.1666666666666671E-2"/>
    <x v="5"/>
  </r>
  <r>
    <d v="2024-11-25T00:00:00"/>
    <x v="1"/>
    <x v="2"/>
    <x v="2"/>
    <n v="5159"/>
    <n v="1.2"/>
    <n v="1"/>
    <n v="6190.8"/>
    <n v="5159"/>
    <n v="1031.8"/>
    <n v="5159"/>
    <n v="257.95"/>
    <n v="4.1666666666666664E-2"/>
    <x v="8"/>
  </r>
  <r>
    <d v="2024-08-11T00:00:00"/>
    <x v="2"/>
    <x v="0"/>
    <x v="2"/>
    <n v="5378"/>
    <n v="1.2"/>
    <n v="1"/>
    <n v="6453.5999999999904"/>
    <n v="5378"/>
    <n v="1075.5999999999899"/>
    <n v="5378"/>
    <n v="268.90000000000003"/>
    <n v="4.1666666666666734E-2"/>
    <x v="7"/>
  </r>
  <r>
    <d v="2024-09-28T00:00:00"/>
    <x v="14"/>
    <x v="4"/>
    <x v="1"/>
    <n v="3655"/>
    <n v="0.9"/>
    <n v="0.7"/>
    <n v="3289.5"/>
    <n v="2558.5"/>
    <n v="731"/>
    <n v="3655"/>
    <n v="182.75"/>
    <n v="5.5555555555555552E-2"/>
    <x v="2"/>
  </r>
  <r>
    <d v="2024-12-23T00:00:00"/>
    <x v="5"/>
    <x v="2"/>
    <x v="0"/>
    <n v="4470"/>
    <n v="1.25"/>
    <n v="1.05"/>
    <n v="5587.5"/>
    <n v="4693.5"/>
    <n v="894"/>
    <n v="4470"/>
    <n v="223.5"/>
    <n v="0.04"/>
    <x v="1"/>
  </r>
  <r>
    <d v="2024-06-04T00:00:00"/>
    <x v="2"/>
    <x v="4"/>
    <x v="0"/>
    <n v="2540"/>
    <n v="1.25"/>
    <n v="1.05"/>
    <n v="3175"/>
    <n v="2667"/>
    <n v="508"/>
    <n v="2540"/>
    <n v="127"/>
    <n v="0.04"/>
    <x v="10"/>
  </r>
  <r>
    <d v="2024-01-08T00:00:00"/>
    <x v="14"/>
    <x v="2"/>
    <x v="2"/>
    <n v="1083"/>
    <n v="1.2"/>
    <n v="1"/>
    <n v="1299.5999999999999"/>
    <n v="1083"/>
    <n v="216.599999999999"/>
    <n v="1083"/>
    <n v="54.150000000000006"/>
    <n v="4.1666666666666671E-2"/>
    <x v="5"/>
  </r>
  <r>
    <d v="2024-05-01T00:00:00"/>
    <x v="10"/>
    <x v="2"/>
    <x v="2"/>
    <n v="5915"/>
    <n v="1.2"/>
    <n v="1"/>
    <n v="7098"/>
    <n v="5915"/>
    <n v="1183"/>
    <n v="5915"/>
    <n v="295.75"/>
    <n v="4.1666666666666664E-2"/>
    <x v="6"/>
  </r>
  <r>
    <d v="2024-12-13T00:00:00"/>
    <x v="12"/>
    <x v="4"/>
    <x v="0"/>
    <n v="4831"/>
    <n v="1.25"/>
    <n v="1.05"/>
    <n v="6038.75"/>
    <n v="5072.55"/>
    <n v="966.19999999999902"/>
    <n v="4831"/>
    <n v="241.55"/>
    <n v="0.04"/>
    <x v="1"/>
  </r>
  <r>
    <d v="2024-06-12T00:00:00"/>
    <x v="13"/>
    <x v="1"/>
    <x v="0"/>
    <n v="2603"/>
    <n v="1.25"/>
    <n v="1.05"/>
    <n v="3253.75"/>
    <n v="2733.15"/>
    <n v="520.599999999999"/>
    <n v="2603"/>
    <n v="130.15"/>
    <n v="0.04"/>
    <x v="10"/>
  </r>
  <r>
    <d v="2024-03-30T00:00:00"/>
    <x v="8"/>
    <x v="3"/>
    <x v="0"/>
    <n v="2442"/>
    <n v="1.25"/>
    <n v="1.05"/>
    <n v="3052.5"/>
    <n v="2564.1"/>
    <n v="488.4"/>
    <n v="2442"/>
    <n v="122.10000000000001"/>
    <n v="0.04"/>
    <x v="3"/>
  </r>
  <r>
    <d v="2024-05-15T00:00:00"/>
    <x v="12"/>
    <x v="0"/>
    <x v="0"/>
    <n v="4955"/>
    <n v="1.25"/>
    <n v="1.05"/>
    <n v="6193.75"/>
    <n v="5202.75"/>
    <n v="991"/>
    <n v="4955"/>
    <n v="247.75"/>
    <n v="0.04"/>
    <x v="6"/>
  </r>
  <r>
    <d v="2024-07-04T00:00:00"/>
    <x v="0"/>
    <x v="2"/>
    <x v="2"/>
    <n v="609"/>
    <n v="1.2"/>
    <n v="1"/>
    <n v="730.8"/>
    <n v="609"/>
    <n v="121.799999999999"/>
    <n v="609"/>
    <n v="30.450000000000003"/>
    <n v="4.1666666666666671E-2"/>
    <x v="4"/>
  </r>
  <r>
    <d v="2024-11-11T00:00:00"/>
    <x v="13"/>
    <x v="0"/>
    <x v="2"/>
    <n v="691"/>
    <n v="1.2"/>
    <n v="1"/>
    <n v="829.19999999999902"/>
    <n v="691"/>
    <n v="138.19999999999899"/>
    <n v="691"/>
    <n v="34.550000000000004"/>
    <n v="4.166666666666672E-2"/>
    <x v="8"/>
  </r>
  <r>
    <d v="2024-06-26T00:00:00"/>
    <x v="9"/>
    <x v="4"/>
    <x v="0"/>
    <n v="1403"/>
    <n v="1.25"/>
    <n v="1.05"/>
    <n v="1753.75"/>
    <n v="1473.15"/>
    <n v="280.599999999999"/>
    <n v="1403"/>
    <n v="70.150000000000006"/>
    <n v="0.04"/>
    <x v="10"/>
  </r>
  <r>
    <d v="2024-01-28T00:00:00"/>
    <x v="14"/>
    <x v="0"/>
    <x v="0"/>
    <n v="5712"/>
    <n v="1.25"/>
    <n v="1.05"/>
    <n v="7140"/>
    <n v="5997.6"/>
    <n v="1142.3999999999901"/>
    <n v="5712"/>
    <n v="285.60000000000002"/>
    <n v="0.04"/>
    <x v="5"/>
  </r>
  <r>
    <d v="2024-08-07T00:00:00"/>
    <x v="13"/>
    <x v="4"/>
    <x v="0"/>
    <n v="1361"/>
    <n v="1.25"/>
    <n v="1.05"/>
    <n v="1701.25"/>
    <n v="1429.05"/>
    <n v="272.2"/>
    <n v="1361"/>
    <n v="68.05"/>
    <n v="0.04"/>
    <x v="7"/>
  </r>
  <r>
    <d v="2024-12-22T00:00:00"/>
    <x v="0"/>
    <x v="0"/>
    <x v="0"/>
    <n v="1583"/>
    <n v="1.25"/>
    <n v="1.05"/>
    <n v="1978.75"/>
    <n v="1662.15"/>
    <n v="316.599999999999"/>
    <n v="1583"/>
    <n v="79.150000000000006"/>
    <n v="0.04"/>
    <x v="1"/>
  </r>
  <r>
    <d v="2024-02-10T00:00:00"/>
    <x v="11"/>
    <x v="3"/>
    <x v="2"/>
    <n v="1149"/>
    <n v="1.2"/>
    <n v="1"/>
    <n v="1378.8"/>
    <n v="1149"/>
    <n v="229.79999999999899"/>
    <n v="1149"/>
    <n v="57.45"/>
    <n v="4.1666666666666671E-2"/>
    <x v="11"/>
  </r>
  <r>
    <d v="2024-08-15T00:00:00"/>
    <x v="1"/>
    <x v="3"/>
    <x v="1"/>
    <n v="4634"/>
    <n v="0.9"/>
    <n v="0.7"/>
    <n v="4170.6000000000004"/>
    <n v="3243.7999999999902"/>
    <n v="926.8"/>
    <n v="4634"/>
    <n v="231.70000000000002"/>
    <n v="5.5555555555555552E-2"/>
    <x v="7"/>
  </r>
  <r>
    <d v="2024-07-10T00:00:00"/>
    <x v="10"/>
    <x v="3"/>
    <x v="2"/>
    <n v="4111"/>
    <n v="1.2"/>
    <n v="1"/>
    <n v="4933.2"/>
    <n v="4111"/>
    <n v="822.19999999999902"/>
    <n v="4111"/>
    <n v="205.55"/>
    <n v="4.1666666666666671E-2"/>
    <x v="4"/>
  </r>
  <r>
    <d v="2024-05-24T00:00:00"/>
    <x v="5"/>
    <x v="3"/>
    <x v="0"/>
    <n v="1136"/>
    <n v="1.25"/>
    <n v="1.05"/>
    <n v="1420"/>
    <n v="1192.8"/>
    <n v="227.2"/>
    <n v="1136"/>
    <n v="56.800000000000004"/>
    <n v="0.04"/>
    <x v="6"/>
  </r>
  <r>
    <d v="2024-07-19T00:00:00"/>
    <x v="14"/>
    <x v="3"/>
    <x v="1"/>
    <n v="1536"/>
    <n v="0.9"/>
    <n v="0.7"/>
    <n v="1382.4"/>
    <n v="1075.19999999999"/>
    <n v="307.2"/>
    <n v="1536"/>
    <n v="76.800000000000011"/>
    <n v="5.5555555555555559E-2"/>
    <x v="4"/>
  </r>
  <r>
    <d v="2024-07-30T00:00:00"/>
    <x v="5"/>
    <x v="3"/>
    <x v="2"/>
    <n v="4631"/>
    <n v="1.2"/>
    <n v="1"/>
    <n v="5557.2"/>
    <n v="4631"/>
    <n v="926.19999999999902"/>
    <n v="4631"/>
    <n v="231.55"/>
    <n v="4.1666666666666671E-2"/>
    <x v="4"/>
  </r>
  <r>
    <d v="2024-08-07T00:00:00"/>
    <x v="4"/>
    <x v="4"/>
    <x v="2"/>
    <n v="2648"/>
    <n v="1.2"/>
    <n v="1"/>
    <n v="3177.6"/>
    <n v="2648"/>
    <n v="529.599999999999"/>
    <n v="2648"/>
    <n v="132.4"/>
    <n v="4.1666666666666671E-2"/>
    <x v="7"/>
  </r>
  <r>
    <d v="2024-08-27T00:00:00"/>
    <x v="2"/>
    <x v="2"/>
    <x v="0"/>
    <n v="4365"/>
    <n v="1.25"/>
    <n v="1.05"/>
    <n v="5456.25"/>
    <n v="4583.25"/>
    <n v="873"/>
    <n v="4365"/>
    <n v="218.25"/>
    <n v="0.04"/>
    <x v="7"/>
  </r>
  <r>
    <d v="2024-02-15T00:00:00"/>
    <x v="14"/>
    <x v="0"/>
    <x v="0"/>
    <n v="3657"/>
    <n v="1.25"/>
    <n v="1.05"/>
    <n v="4571.25"/>
    <n v="3839.85"/>
    <n v="731.39999999999895"/>
    <n v="3657"/>
    <n v="182.85000000000002"/>
    <n v="4.0000000000000008E-2"/>
    <x v="11"/>
  </r>
  <r>
    <d v="2024-02-04T00:00:00"/>
    <x v="8"/>
    <x v="3"/>
    <x v="0"/>
    <n v="4087"/>
    <n v="1.25"/>
    <n v="1.05"/>
    <n v="5108.75"/>
    <n v="4291.3500000000004"/>
    <n v="817.39999999999895"/>
    <n v="4087"/>
    <n v="204.35000000000002"/>
    <n v="4.0000000000000008E-2"/>
    <x v="11"/>
  </r>
  <r>
    <d v="2024-09-09T00:00:00"/>
    <x v="14"/>
    <x v="4"/>
    <x v="0"/>
    <n v="3794"/>
    <n v="1.25"/>
    <n v="1.05"/>
    <n v="4742.5"/>
    <n v="3983.7"/>
    <n v="758.79999999999905"/>
    <n v="3794"/>
    <n v="189.70000000000002"/>
    <n v="0.04"/>
    <x v="2"/>
  </r>
  <r>
    <d v="2024-03-22T00:00:00"/>
    <x v="7"/>
    <x v="4"/>
    <x v="0"/>
    <n v="5957"/>
    <n v="1.25"/>
    <n v="1.05"/>
    <n v="7446.25"/>
    <n v="6254.85"/>
    <n v="1191.3999999999901"/>
    <n v="5957"/>
    <n v="297.85000000000002"/>
    <n v="0.04"/>
    <x v="3"/>
  </r>
  <r>
    <d v="2024-09-12T00:00:00"/>
    <x v="1"/>
    <x v="4"/>
    <x v="0"/>
    <n v="4761"/>
    <n v="1.25"/>
    <n v="1.05"/>
    <n v="5951.25"/>
    <n v="4999.05"/>
    <n v="952.19999999999902"/>
    <n v="4761"/>
    <n v="238.05"/>
    <n v="0.04"/>
    <x v="2"/>
  </r>
  <r>
    <d v="2024-07-15T00:00:00"/>
    <x v="7"/>
    <x v="2"/>
    <x v="0"/>
    <n v="2930"/>
    <n v="1.25"/>
    <n v="1.05"/>
    <n v="3662.5"/>
    <n v="3076.5"/>
    <n v="586"/>
    <n v="2930"/>
    <n v="146.5"/>
    <n v="0.04"/>
    <x v="4"/>
  </r>
  <r>
    <d v="2024-10-29T00:00:00"/>
    <x v="14"/>
    <x v="0"/>
    <x v="2"/>
    <n v="2379"/>
    <n v="1.2"/>
    <n v="1"/>
    <n v="2854.7999999999902"/>
    <n v="2379"/>
    <n v="475.79999999999899"/>
    <n v="2379"/>
    <n v="118.95"/>
    <n v="4.166666666666681E-2"/>
    <x v="9"/>
  </r>
  <r>
    <d v="2024-01-10T00:00:00"/>
    <x v="10"/>
    <x v="2"/>
    <x v="0"/>
    <n v="4466"/>
    <n v="1.25"/>
    <n v="1.05"/>
    <n v="5582.5"/>
    <n v="4689.3"/>
    <n v="893.19999999999902"/>
    <n v="4466"/>
    <n v="223.3"/>
    <n v="0.04"/>
    <x v="5"/>
  </r>
  <r>
    <d v="2024-11-07T00:00:00"/>
    <x v="13"/>
    <x v="1"/>
    <x v="0"/>
    <n v="4213"/>
    <n v="1.25"/>
    <n v="1.05"/>
    <n v="5266.25"/>
    <n v="4423.6499999999996"/>
    <n v="842.599999999999"/>
    <n v="4213"/>
    <n v="210.65"/>
    <n v="0.04"/>
    <x v="8"/>
  </r>
  <r>
    <d v="2024-10-12T00:00:00"/>
    <x v="5"/>
    <x v="4"/>
    <x v="1"/>
    <n v="4626"/>
    <n v="0.9"/>
    <n v="0.7"/>
    <n v="4163.3999999999996"/>
    <n v="3238.2"/>
    <n v="925.2"/>
    <n v="4626"/>
    <n v="231.3"/>
    <n v="5.5555555555555566E-2"/>
    <x v="9"/>
  </r>
  <r>
    <d v="2024-08-29T00:00:00"/>
    <x v="10"/>
    <x v="1"/>
    <x v="1"/>
    <n v="4606"/>
    <n v="0.9"/>
    <n v="0.7"/>
    <n v="4145.3999999999996"/>
    <n v="3224.2"/>
    <n v="921.2"/>
    <n v="4606"/>
    <n v="230.3"/>
    <n v="5.5555555555555566E-2"/>
    <x v="7"/>
  </r>
  <r>
    <d v="2024-09-07T00:00:00"/>
    <x v="14"/>
    <x v="3"/>
    <x v="2"/>
    <n v="2511"/>
    <n v="1.2"/>
    <n v="1"/>
    <n v="3013.2"/>
    <n v="2511"/>
    <n v="502.19999999999902"/>
    <n v="2511"/>
    <n v="125.55000000000001"/>
    <n v="4.1666666666666671E-2"/>
    <x v="2"/>
  </r>
  <r>
    <d v="2024-12-30T00:00:00"/>
    <x v="0"/>
    <x v="3"/>
    <x v="1"/>
    <n v="3873"/>
    <n v="0.9"/>
    <n v="0.7"/>
    <n v="3485.7"/>
    <n v="2711.1"/>
    <n v="774.6"/>
    <n v="3873"/>
    <n v="193.65"/>
    <n v="5.5555555555555559E-2"/>
    <x v="1"/>
  </r>
  <r>
    <d v="2024-01-05T00:00:00"/>
    <x v="13"/>
    <x v="2"/>
    <x v="2"/>
    <n v="2643"/>
    <n v="1.2"/>
    <n v="1"/>
    <n v="3171.6"/>
    <n v="2643"/>
    <n v="528.599999999999"/>
    <n v="2643"/>
    <n v="132.15"/>
    <n v="4.1666666666666671E-2"/>
    <x v="5"/>
  </r>
  <r>
    <d v="2024-04-28T00:00:00"/>
    <x v="0"/>
    <x v="0"/>
    <x v="1"/>
    <n v="3000"/>
    <n v="0.9"/>
    <n v="0.7"/>
    <n v="2700"/>
    <n v="2100"/>
    <n v="600"/>
    <n v="3000"/>
    <n v="150"/>
    <n v="5.5555555555555552E-2"/>
    <x v="0"/>
  </r>
  <r>
    <d v="2024-10-15T00:00:00"/>
    <x v="5"/>
    <x v="1"/>
    <x v="0"/>
    <n v="5081"/>
    <n v="1.25"/>
    <n v="1.05"/>
    <n v="6351.25"/>
    <n v="5335.05"/>
    <n v="1016.19999999999"/>
    <n v="5081"/>
    <n v="254.05"/>
    <n v="0.04"/>
    <x v="9"/>
  </r>
  <r>
    <d v="2024-03-05T00:00:00"/>
    <x v="13"/>
    <x v="0"/>
    <x v="0"/>
    <n v="1789"/>
    <n v="1.25"/>
    <n v="1.05"/>
    <n v="2236.25"/>
    <n v="1878.45"/>
    <n v="357.79999999999899"/>
    <n v="1789"/>
    <n v="89.45"/>
    <n v="0.04"/>
    <x v="3"/>
  </r>
  <r>
    <d v="2024-05-25T00:00:00"/>
    <x v="8"/>
    <x v="2"/>
    <x v="0"/>
    <n v="1947"/>
    <n v="1.25"/>
    <n v="1.05"/>
    <n v="2433.75"/>
    <n v="2044.35"/>
    <n v="389.39999999999901"/>
    <n v="1947"/>
    <n v="97.350000000000009"/>
    <n v="0.04"/>
    <x v="6"/>
  </r>
  <r>
    <d v="2024-08-11T00:00:00"/>
    <x v="1"/>
    <x v="3"/>
    <x v="0"/>
    <n v="3699"/>
    <n v="1.25"/>
    <n v="1.05"/>
    <n v="4623.75"/>
    <n v="3883.95"/>
    <n v="739.79999999999905"/>
    <n v="3699"/>
    <n v="184.95000000000002"/>
    <n v="0.04"/>
    <x v="7"/>
  </r>
  <r>
    <d v="2024-08-26T00:00:00"/>
    <x v="12"/>
    <x v="0"/>
    <x v="0"/>
    <n v="2443"/>
    <n v="1.25"/>
    <n v="1.05"/>
    <n v="3053.75"/>
    <n v="2565.15"/>
    <n v="488.599999999999"/>
    <n v="2443"/>
    <n v="122.15"/>
    <n v="0.04"/>
    <x v="7"/>
  </r>
  <r>
    <d v="2024-06-25T00:00:00"/>
    <x v="3"/>
    <x v="0"/>
    <x v="2"/>
    <n v="3683"/>
    <n v="1.2"/>
    <n v="1"/>
    <n v="4419.5999999999904"/>
    <n v="3683"/>
    <n v="736.599999999999"/>
    <n v="3683"/>
    <n v="184.15"/>
    <n v="4.1666666666666761E-2"/>
    <x v="10"/>
  </r>
  <r>
    <d v="2024-09-23T00:00:00"/>
    <x v="9"/>
    <x v="3"/>
    <x v="2"/>
    <n v="5962"/>
    <n v="1.2"/>
    <n v="1"/>
    <n v="7154.4"/>
    <n v="5962"/>
    <n v="1192.3999999999901"/>
    <n v="5962"/>
    <n v="298.10000000000002"/>
    <n v="4.1666666666666671E-2"/>
    <x v="2"/>
  </r>
  <r>
    <d v="2024-12-06T00:00:00"/>
    <x v="10"/>
    <x v="1"/>
    <x v="2"/>
    <n v="3716"/>
    <n v="1.2"/>
    <n v="1"/>
    <n v="4459.2"/>
    <n v="3716"/>
    <n v="743.19999999999902"/>
    <n v="3716"/>
    <n v="185.8"/>
    <n v="4.1666666666666671E-2"/>
    <x v="1"/>
  </r>
  <r>
    <d v="2024-10-08T00:00:00"/>
    <x v="2"/>
    <x v="3"/>
    <x v="0"/>
    <n v="3636"/>
    <n v="1.25"/>
    <n v="1.05"/>
    <n v="4545"/>
    <n v="3817.8"/>
    <n v="727.19999999999902"/>
    <n v="3636"/>
    <n v="181.8"/>
    <n v="0.04"/>
    <x v="9"/>
  </r>
  <r>
    <d v="2024-03-03T00:00:00"/>
    <x v="10"/>
    <x v="0"/>
    <x v="2"/>
    <n v="3818"/>
    <n v="1.2"/>
    <n v="1"/>
    <n v="4581.5999999999904"/>
    <n v="3818"/>
    <n v="763.599999999999"/>
    <n v="3818"/>
    <n v="190.9"/>
    <n v="4.1666666666666755E-2"/>
    <x v="3"/>
  </r>
  <r>
    <d v="2024-08-04T00:00:00"/>
    <x v="3"/>
    <x v="1"/>
    <x v="2"/>
    <n v="3282"/>
    <n v="1.2"/>
    <n v="1"/>
    <n v="3938.3999999999901"/>
    <n v="3282"/>
    <n v="656.39999999999895"/>
    <n v="3282"/>
    <n v="164.10000000000002"/>
    <n v="4.1666666666666775E-2"/>
    <x v="7"/>
  </r>
  <r>
    <d v="2024-12-07T00:00:00"/>
    <x v="12"/>
    <x v="1"/>
    <x v="0"/>
    <n v="1490"/>
    <n v="1.25"/>
    <n v="1.05"/>
    <n v="1862.5"/>
    <n v="1564.5"/>
    <n v="298"/>
    <n v="1490"/>
    <n v="74.5"/>
    <n v="0.04"/>
    <x v="1"/>
  </r>
  <r>
    <d v="2024-11-10T00:00:00"/>
    <x v="6"/>
    <x v="3"/>
    <x v="2"/>
    <n v="5420"/>
    <n v="1.2"/>
    <n v="1"/>
    <n v="6504"/>
    <n v="5420"/>
    <n v="1084"/>
    <n v="5420"/>
    <n v="271"/>
    <n v="4.1666666666666664E-2"/>
    <x v="8"/>
  </r>
  <r>
    <d v="2024-10-09T00:00:00"/>
    <x v="11"/>
    <x v="0"/>
    <x v="0"/>
    <n v="2653"/>
    <n v="1.25"/>
    <n v="1.05"/>
    <n v="3316.25"/>
    <n v="2785.65"/>
    <n v="530.599999999999"/>
    <n v="2653"/>
    <n v="132.65"/>
    <n v="0.04"/>
    <x v="9"/>
  </r>
  <r>
    <d v="2024-06-25T00:00:00"/>
    <x v="8"/>
    <x v="2"/>
    <x v="0"/>
    <n v="725"/>
    <n v="1.25"/>
    <n v="1.05"/>
    <n v="906.25"/>
    <n v="761.25"/>
    <n v="145"/>
    <n v="725"/>
    <n v="36.25"/>
    <n v="0.04"/>
    <x v="10"/>
  </r>
  <r>
    <d v="2024-04-07T00:00:00"/>
    <x v="0"/>
    <x v="0"/>
    <x v="1"/>
    <n v="1276"/>
    <n v="0.9"/>
    <n v="0.7"/>
    <n v="1148.4000000000001"/>
    <n v="893.19999999999902"/>
    <n v="255.2"/>
    <n v="1276"/>
    <n v="63.800000000000004"/>
    <n v="5.5555555555555552E-2"/>
    <x v="0"/>
  </r>
  <r>
    <d v="2024-04-14T00:00:00"/>
    <x v="14"/>
    <x v="4"/>
    <x v="0"/>
    <n v="3337"/>
    <n v="1.25"/>
    <n v="1.05"/>
    <n v="4171.25"/>
    <n v="3503.85"/>
    <n v="667.39999999999895"/>
    <n v="3337"/>
    <n v="166.85000000000002"/>
    <n v="4.0000000000000008E-2"/>
    <x v="0"/>
  </r>
  <r>
    <d v="2024-04-08T00:00:00"/>
    <x v="8"/>
    <x v="2"/>
    <x v="0"/>
    <n v="5708"/>
    <n v="1.25"/>
    <n v="1.05"/>
    <n v="7135"/>
    <n v="5993.4"/>
    <n v="1141.5999999999899"/>
    <n v="5708"/>
    <n v="285.40000000000003"/>
    <n v="4.0000000000000008E-2"/>
    <x v="0"/>
  </r>
  <r>
    <d v="2024-11-06T00:00:00"/>
    <x v="3"/>
    <x v="1"/>
    <x v="1"/>
    <n v="1187"/>
    <n v="0.9"/>
    <n v="0.7"/>
    <n v="1068.3"/>
    <n v="830.9"/>
    <n v="237.39999999999901"/>
    <n v="1187"/>
    <n v="59.35"/>
    <n v="5.5555555555555559E-2"/>
    <x v="8"/>
  </r>
  <r>
    <d v="2024-01-06T00:00:00"/>
    <x v="14"/>
    <x v="2"/>
    <x v="2"/>
    <n v="1029"/>
    <n v="1.2"/>
    <n v="1"/>
    <n v="1234.8"/>
    <n v="1029"/>
    <n v="205.79999999999899"/>
    <n v="1029"/>
    <n v="51.45"/>
    <n v="4.1666666666666671E-2"/>
    <x v="5"/>
  </r>
  <r>
    <d v="2024-07-15T00:00:00"/>
    <x v="2"/>
    <x v="1"/>
    <x v="0"/>
    <n v="3942"/>
    <n v="1.25"/>
    <n v="1.05"/>
    <n v="4927.5"/>
    <n v="4139.1000000000004"/>
    <n v="788.39999999999895"/>
    <n v="3942"/>
    <n v="197.10000000000002"/>
    <n v="4.0000000000000008E-2"/>
    <x v="4"/>
  </r>
  <r>
    <d v="2024-12-16T00:00:00"/>
    <x v="7"/>
    <x v="1"/>
    <x v="0"/>
    <n v="5567"/>
    <n v="1.25"/>
    <n v="1.05"/>
    <n v="6958.75"/>
    <n v="5845.35"/>
    <n v="1113.3999999999901"/>
    <n v="5567"/>
    <n v="278.35000000000002"/>
    <n v="0.04"/>
    <x v="1"/>
  </r>
  <r>
    <d v="2024-05-12T00:00:00"/>
    <x v="13"/>
    <x v="2"/>
    <x v="0"/>
    <n v="5531"/>
    <n v="1.25"/>
    <n v="1.05"/>
    <n v="6913.75"/>
    <n v="5807.55"/>
    <n v="1106.19999999999"/>
    <n v="5531"/>
    <n v="276.55"/>
    <n v="0.04"/>
    <x v="6"/>
  </r>
  <r>
    <d v="2024-12-23T00:00:00"/>
    <x v="11"/>
    <x v="1"/>
    <x v="2"/>
    <n v="2653"/>
    <n v="1.2"/>
    <n v="1"/>
    <n v="3183.6"/>
    <n v="2653"/>
    <n v="530.599999999999"/>
    <n v="2653"/>
    <n v="132.65"/>
    <n v="4.1666666666666671E-2"/>
    <x v="1"/>
  </r>
  <r>
    <d v="2024-09-15T00:00:00"/>
    <x v="1"/>
    <x v="1"/>
    <x v="0"/>
    <n v="1794"/>
    <n v="1.25"/>
    <n v="1.05"/>
    <n v="2242.5"/>
    <n v="1883.7"/>
    <n v="358.79999999999899"/>
    <n v="1794"/>
    <n v="89.7"/>
    <n v="0.04"/>
    <x v="2"/>
  </r>
  <r>
    <d v="2024-01-23T00:00:00"/>
    <x v="1"/>
    <x v="4"/>
    <x v="0"/>
    <n v="2026"/>
    <n v="1.25"/>
    <n v="1.05"/>
    <n v="2532.5"/>
    <n v="2127.3000000000002"/>
    <n v="405.19999999999902"/>
    <n v="2026"/>
    <n v="101.30000000000001"/>
    <n v="4.0000000000000008E-2"/>
    <x v="5"/>
  </r>
  <r>
    <d v="2024-02-22T00:00:00"/>
    <x v="3"/>
    <x v="0"/>
    <x v="1"/>
    <n v="5274"/>
    <n v="0.9"/>
    <n v="0.7"/>
    <n v="4746.6000000000004"/>
    <n v="3691.7999999999902"/>
    <n v="1054.8"/>
    <n v="5274"/>
    <n v="263.7"/>
    <n v="5.5555555555555546E-2"/>
    <x v="11"/>
  </r>
  <r>
    <d v="2024-06-13T00:00:00"/>
    <x v="8"/>
    <x v="0"/>
    <x v="2"/>
    <n v="3396"/>
    <n v="1.2"/>
    <n v="1"/>
    <n v="4075.2"/>
    <n v="3396"/>
    <n v="679.19999999999902"/>
    <n v="3396"/>
    <n v="169.8"/>
    <n v="4.1666666666666671E-2"/>
    <x v="10"/>
  </r>
  <r>
    <d v="2024-07-20T00:00:00"/>
    <x v="1"/>
    <x v="4"/>
    <x v="0"/>
    <n v="3603"/>
    <n v="1.25"/>
    <n v="1.05"/>
    <n v="4503.75"/>
    <n v="3783.15"/>
    <n v="720.599999999999"/>
    <n v="3603"/>
    <n v="180.15"/>
    <n v="0.04"/>
    <x v="4"/>
  </r>
  <r>
    <d v="2024-03-23T00:00:00"/>
    <x v="2"/>
    <x v="2"/>
    <x v="2"/>
    <n v="2940"/>
    <n v="1.2"/>
    <n v="1"/>
    <n v="3528"/>
    <n v="2940"/>
    <n v="588"/>
    <n v="2940"/>
    <n v="147"/>
    <n v="4.1666666666666664E-2"/>
    <x v="3"/>
  </r>
  <r>
    <d v="2024-05-24T00:00:00"/>
    <x v="0"/>
    <x v="3"/>
    <x v="2"/>
    <n v="4635"/>
    <n v="1.2"/>
    <n v="1"/>
    <n v="5562"/>
    <n v="4635"/>
    <n v="927"/>
    <n v="4635"/>
    <n v="231.75"/>
    <n v="4.1666666666666664E-2"/>
    <x v="6"/>
  </r>
  <r>
    <d v="2024-03-25T00:00:00"/>
    <x v="6"/>
    <x v="3"/>
    <x v="0"/>
    <n v="4302"/>
    <n v="1.25"/>
    <n v="1.05"/>
    <n v="5377.5"/>
    <n v="4517.1000000000004"/>
    <n v="860.39999999999895"/>
    <n v="4302"/>
    <n v="215.10000000000002"/>
    <n v="0.04"/>
    <x v="3"/>
  </r>
  <r>
    <d v="2024-03-18T00:00:00"/>
    <x v="10"/>
    <x v="3"/>
    <x v="0"/>
    <n v="5701"/>
    <n v="1.25"/>
    <n v="1.05"/>
    <n v="7126.25"/>
    <n v="5986.05"/>
    <n v="1140.19999999999"/>
    <n v="5701"/>
    <n v="285.05"/>
    <n v="0.04"/>
    <x v="3"/>
  </r>
  <r>
    <d v="2024-12-31T00:00:00"/>
    <x v="4"/>
    <x v="4"/>
    <x v="2"/>
    <n v="1344"/>
    <n v="1.2"/>
    <n v="1"/>
    <n v="1612.8"/>
    <n v="1344"/>
    <n v="268.79999999999899"/>
    <n v="1344"/>
    <n v="67.2"/>
    <n v="4.1666666666666671E-2"/>
    <x v="1"/>
  </r>
  <r>
    <d v="2024-01-01T00:00:00"/>
    <x v="2"/>
    <x v="4"/>
    <x v="0"/>
    <n v="946"/>
    <n v="1.25"/>
    <n v="1.05"/>
    <n v="1182.5"/>
    <n v="993.3"/>
    <n v="189.19999999999899"/>
    <n v="946"/>
    <n v="47.300000000000004"/>
    <n v="0.04"/>
    <x v="5"/>
  </r>
  <r>
    <d v="2024-02-20T00:00:00"/>
    <x v="14"/>
    <x v="1"/>
    <x v="2"/>
    <n v="4415"/>
    <n v="1.2"/>
    <n v="1"/>
    <n v="5298"/>
    <n v="4415"/>
    <n v="883"/>
    <n v="4415"/>
    <n v="220.75"/>
    <n v="4.1666666666666664E-2"/>
    <x v="11"/>
  </r>
  <r>
    <d v="2024-06-21T00:00:00"/>
    <x v="9"/>
    <x v="3"/>
    <x v="0"/>
    <n v="3609"/>
    <n v="1.25"/>
    <n v="1.05"/>
    <n v="4511.25"/>
    <n v="3789.45"/>
    <n v="721.79999999999905"/>
    <n v="3609"/>
    <n v="180.45000000000002"/>
    <n v="0.04"/>
    <x v="10"/>
  </r>
  <r>
    <d v="2024-07-23T00:00:00"/>
    <x v="3"/>
    <x v="2"/>
    <x v="0"/>
    <n v="1734"/>
    <n v="1.25"/>
    <n v="1.05"/>
    <n v="2167.5"/>
    <n v="1820.7"/>
    <n v="346.79999999999899"/>
    <n v="1734"/>
    <n v="86.7"/>
    <n v="0.04"/>
    <x v="4"/>
  </r>
  <r>
    <d v="2024-09-16T00:00:00"/>
    <x v="7"/>
    <x v="2"/>
    <x v="0"/>
    <n v="5946"/>
    <n v="1.25"/>
    <n v="1.05"/>
    <n v="7432.5"/>
    <n v="6243.3"/>
    <n v="1189.19999999999"/>
    <n v="5946"/>
    <n v="297.3"/>
    <n v="0.04"/>
    <x v="2"/>
  </r>
  <r>
    <d v="2024-10-14T00:00:00"/>
    <x v="13"/>
    <x v="3"/>
    <x v="0"/>
    <n v="726"/>
    <n v="1.25"/>
    <n v="1.05"/>
    <n v="907.5"/>
    <n v="762.3"/>
    <n v="145.19999999999899"/>
    <n v="726"/>
    <n v="36.300000000000004"/>
    <n v="4.0000000000000008E-2"/>
    <x v="9"/>
  </r>
  <r>
    <d v="2024-02-03T00:00:00"/>
    <x v="9"/>
    <x v="3"/>
    <x v="0"/>
    <n v="4643"/>
    <n v="1.25"/>
    <n v="1.05"/>
    <n v="5803.75"/>
    <n v="4875.1499999999996"/>
    <n v="928.599999999999"/>
    <n v="4643"/>
    <n v="232.15"/>
    <n v="0.04"/>
    <x v="11"/>
  </r>
  <r>
    <d v="2024-12-13T00:00:00"/>
    <x v="13"/>
    <x v="3"/>
    <x v="0"/>
    <n v="3459"/>
    <n v="1.25"/>
    <n v="1.05"/>
    <n v="4323.75"/>
    <n v="3631.95"/>
    <n v="691.79999999999905"/>
    <n v="3459"/>
    <n v="172.95000000000002"/>
    <n v="0.04"/>
    <x v="1"/>
  </r>
  <r>
    <d v="2024-04-04T00:00:00"/>
    <x v="5"/>
    <x v="4"/>
    <x v="2"/>
    <n v="2330"/>
    <n v="1.2"/>
    <n v="1"/>
    <n v="2796"/>
    <n v="2330"/>
    <n v="466"/>
    <n v="2330"/>
    <n v="116.5"/>
    <n v="4.1666666666666664E-2"/>
    <x v="0"/>
  </r>
  <r>
    <d v="2024-03-12T00:00:00"/>
    <x v="9"/>
    <x v="4"/>
    <x v="1"/>
    <n v="4279"/>
    <n v="0.9"/>
    <n v="0.7"/>
    <n v="3851.1"/>
    <n v="2995.2999999999902"/>
    <n v="855.8"/>
    <n v="4279"/>
    <n v="213.95000000000002"/>
    <n v="5.5555555555555559E-2"/>
    <x v="3"/>
  </r>
  <r>
    <d v="2024-02-08T00:00:00"/>
    <x v="4"/>
    <x v="4"/>
    <x v="2"/>
    <n v="686"/>
    <n v="1.2"/>
    <n v="1"/>
    <n v="823.19999999999902"/>
    <n v="686"/>
    <n v="137.19999999999899"/>
    <n v="686"/>
    <n v="34.300000000000004"/>
    <n v="4.166666666666672E-2"/>
    <x v="11"/>
  </r>
  <r>
    <d v="2024-06-02T00:00:00"/>
    <x v="8"/>
    <x v="0"/>
    <x v="1"/>
    <n v="3377"/>
    <n v="0.9"/>
    <n v="0.7"/>
    <n v="3039.3"/>
    <n v="2363.8999999999901"/>
    <n v="675.4"/>
    <n v="3377"/>
    <n v="168.85000000000002"/>
    <n v="5.5555555555555559E-2"/>
    <x v="10"/>
  </r>
  <r>
    <d v="2024-09-06T00:00:00"/>
    <x v="6"/>
    <x v="2"/>
    <x v="0"/>
    <n v="3035"/>
    <n v="1.25"/>
    <n v="1.05"/>
    <n v="3793.75"/>
    <n v="3186.75"/>
    <n v="607"/>
    <n v="3035"/>
    <n v="151.75"/>
    <n v="0.04"/>
    <x v="2"/>
  </r>
  <r>
    <d v="2024-06-10T00:00:00"/>
    <x v="10"/>
    <x v="2"/>
    <x v="1"/>
    <n v="2432"/>
    <n v="0.9"/>
    <n v="0.7"/>
    <n v="2188.8000000000002"/>
    <n v="1702.3999999999901"/>
    <n v="486.4"/>
    <n v="2432"/>
    <n v="121.60000000000001"/>
    <n v="5.5555555555555552E-2"/>
    <x v="10"/>
  </r>
  <r>
    <d v="2024-04-27T00:00:00"/>
    <x v="10"/>
    <x v="1"/>
    <x v="0"/>
    <n v="3424"/>
    <n v="1.25"/>
    <n v="1.05"/>
    <n v="4280"/>
    <n v="3595.2"/>
    <n v="684.79999999999905"/>
    <n v="3424"/>
    <n v="171.20000000000002"/>
    <n v="0.04"/>
    <x v="0"/>
  </r>
  <r>
    <d v="2024-09-15T00:00:00"/>
    <x v="6"/>
    <x v="4"/>
    <x v="1"/>
    <n v="1348"/>
    <n v="0.9"/>
    <n v="0.7"/>
    <n v="1213.2"/>
    <n v="943.599999999999"/>
    <n v="269.60000000000002"/>
    <n v="1348"/>
    <n v="67.400000000000006"/>
    <n v="5.5555555555555559E-2"/>
    <x v="2"/>
  </r>
  <r>
    <d v="2024-11-01T00:00:00"/>
    <x v="0"/>
    <x v="0"/>
    <x v="1"/>
    <n v="2532"/>
    <n v="0.9"/>
    <n v="0.7"/>
    <n v="2278.8000000000002"/>
    <n v="1772.3999999999901"/>
    <n v="506.4"/>
    <n v="2532"/>
    <n v="126.60000000000001"/>
    <n v="5.5555555555555552E-2"/>
    <x v="8"/>
  </r>
  <r>
    <d v="2024-09-24T00:00:00"/>
    <x v="11"/>
    <x v="0"/>
    <x v="2"/>
    <n v="1752"/>
    <n v="1.2"/>
    <n v="1"/>
    <n v="2102.4"/>
    <n v="1752"/>
    <n v="350.4"/>
    <n v="1752"/>
    <n v="87.600000000000009"/>
    <n v="4.1666666666666671E-2"/>
    <x v="2"/>
  </r>
  <r>
    <d v="2024-02-23T00:00:00"/>
    <x v="5"/>
    <x v="2"/>
    <x v="1"/>
    <n v="5574"/>
    <n v="0.9"/>
    <n v="0.7"/>
    <n v="5016.6000000000004"/>
    <n v="3901.7999999999902"/>
    <n v="1114.8"/>
    <n v="5574"/>
    <n v="278.7"/>
    <n v="5.5555555555555552E-2"/>
    <x v="11"/>
  </r>
  <r>
    <d v="2024-08-23T00:00:00"/>
    <x v="13"/>
    <x v="4"/>
    <x v="2"/>
    <n v="5612"/>
    <n v="1.2"/>
    <n v="1"/>
    <n v="6734.4"/>
    <n v="5612"/>
    <n v="1122.3999999999901"/>
    <n v="5612"/>
    <n v="280.60000000000002"/>
    <n v="4.1666666666666671E-2"/>
    <x v="7"/>
  </r>
  <r>
    <d v="2024-08-09T00:00:00"/>
    <x v="4"/>
    <x v="1"/>
    <x v="0"/>
    <n v="2381"/>
    <n v="1.25"/>
    <n v="1.05"/>
    <n v="2976.25"/>
    <n v="2500.0500000000002"/>
    <n v="476.19999999999902"/>
    <n v="2381"/>
    <n v="119.05000000000001"/>
    <n v="0.04"/>
    <x v="7"/>
  </r>
  <r>
    <d v="2024-09-07T00:00:00"/>
    <x v="1"/>
    <x v="4"/>
    <x v="0"/>
    <n v="769"/>
    <n v="1.25"/>
    <n v="1.05"/>
    <n v="961.25"/>
    <n v="807.45"/>
    <n v="153.79999999999899"/>
    <n v="769"/>
    <n v="38.450000000000003"/>
    <n v="0.04"/>
    <x v="2"/>
  </r>
  <r>
    <d v="2024-11-08T00:00:00"/>
    <x v="9"/>
    <x v="3"/>
    <x v="2"/>
    <n v="2130"/>
    <n v="1.2"/>
    <n v="1"/>
    <n v="2556"/>
    <n v="2130"/>
    <n v="426"/>
    <n v="2130"/>
    <n v="106.5"/>
    <n v="4.1666666666666664E-2"/>
    <x v="8"/>
  </r>
  <r>
    <d v="2024-04-21T00:00:00"/>
    <x v="5"/>
    <x v="4"/>
    <x v="0"/>
    <n v="4905"/>
    <n v="1.25"/>
    <n v="1.05"/>
    <n v="6131.25"/>
    <n v="5150.25"/>
    <n v="981"/>
    <n v="4905"/>
    <n v="245.25"/>
    <n v="0.04"/>
    <x v="0"/>
  </r>
  <r>
    <d v="2024-09-11T00:00:00"/>
    <x v="2"/>
    <x v="3"/>
    <x v="2"/>
    <n v="3703"/>
    <n v="1.2"/>
    <n v="1"/>
    <n v="4443.5999999999904"/>
    <n v="3703"/>
    <n v="740.599999999999"/>
    <n v="3703"/>
    <n v="185.15"/>
    <n v="4.1666666666666761E-2"/>
    <x v="2"/>
  </r>
  <r>
    <d v="2024-10-29T00:00:00"/>
    <x v="3"/>
    <x v="3"/>
    <x v="1"/>
    <n v="2074"/>
    <n v="0.9"/>
    <n v="0.7"/>
    <n v="1866.6"/>
    <n v="1451.8"/>
    <n v="414.8"/>
    <n v="2074"/>
    <n v="103.7"/>
    <n v="5.5555555555555559E-2"/>
    <x v="9"/>
  </r>
  <r>
    <d v="2024-07-25T00:00:00"/>
    <x v="9"/>
    <x v="1"/>
    <x v="0"/>
    <n v="5691"/>
    <n v="1.25"/>
    <n v="1.05"/>
    <n v="7113.75"/>
    <n v="5975.55"/>
    <n v="1138.19999999999"/>
    <n v="5691"/>
    <n v="284.55"/>
    <n v="0.04"/>
    <x v="4"/>
  </r>
  <r>
    <d v="2024-08-16T00:00:00"/>
    <x v="4"/>
    <x v="2"/>
    <x v="2"/>
    <n v="3392"/>
    <n v="1.2"/>
    <n v="1"/>
    <n v="4070.3999999999901"/>
    <n v="3392"/>
    <n v="678.39999999999895"/>
    <n v="3392"/>
    <n v="169.60000000000002"/>
    <n v="4.1666666666666775E-2"/>
    <x v="7"/>
  </r>
  <r>
    <d v="2024-12-06T00:00:00"/>
    <x v="7"/>
    <x v="4"/>
    <x v="1"/>
    <n v="2195"/>
    <n v="0.9"/>
    <n v="0.7"/>
    <n v="1975.5"/>
    <n v="1536.5"/>
    <n v="439"/>
    <n v="2195"/>
    <n v="109.75"/>
    <n v="5.5555555555555552E-2"/>
    <x v="1"/>
  </r>
  <r>
    <d v="2024-03-06T00:00:00"/>
    <x v="7"/>
    <x v="3"/>
    <x v="1"/>
    <n v="3758"/>
    <n v="0.9"/>
    <n v="0.7"/>
    <n v="3382.2"/>
    <n v="2630.6"/>
    <n v="751.6"/>
    <n v="3758"/>
    <n v="187.9"/>
    <n v="5.5555555555555559E-2"/>
    <x v="3"/>
  </r>
  <r>
    <d v="2024-03-15T00:00:00"/>
    <x v="14"/>
    <x v="4"/>
    <x v="1"/>
    <n v="3762"/>
    <n v="0.9"/>
    <n v="0.7"/>
    <n v="3385.8"/>
    <n v="2633.3999999999901"/>
    <n v="752.4"/>
    <n v="3762"/>
    <n v="188.10000000000002"/>
    <n v="5.5555555555555559E-2"/>
    <x v="3"/>
  </r>
  <r>
    <d v="2024-04-12T00:00:00"/>
    <x v="5"/>
    <x v="2"/>
    <x v="2"/>
    <n v="1945"/>
    <n v="1.2"/>
    <n v="1"/>
    <n v="2334"/>
    <n v="1945"/>
    <n v="389"/>
    <n v="1945"/>
    <n v="97.25"/>
    <n v="4.1666666666666664E-2"/>
    <x v="0"/>
  </r>
  <r>
    <d v="2024-07-10T00:00:00"/>
    <x v="8"/>
    <x v="2"/>
    <x v="1"/>
    <n v="719"/>
    <n v="0.9"/>
    <n v="0.7"/>
    <n v="647.1"/>
    <n v="503.29999999999899"/>
    <n v="143.80000000000001"/>
    <n v="719"/>
    <n v="35.950000000000003"/>
    <n v="5.5555555555555559E-2"/>
    <x v="4"/>
  </r>
  <r>
    <d v="2024-09-08T00:00:00"/>
    <x v="4"/>
    <x v="0"/>
    <x v="2"/>
    <n v="552"/>
    <n v="1.2"/>
    <n v="1"/>
    <n v="662.4"/>
    <n v="552"/>
    <n v="110.399999999999"/>
    <n v="552"/>
    <n v="27.6"/>
    <n v="4.1666666666666671E-2"/>
    <x v="2"/>
  </r>
  <r>
    <d v="2024-08-13T00:00:00"/>
    <x v="4"/>
    <x v="2"/>
    <x v="0"/>
    <n v="2257"/>
    <n v="1.25"/>
    <n v="1.05"/>
    <n v="2821.25"/>
    <n v="2369.85"/>
    <n v="451.4"/>
    <n v="2257"/>
    <n v="112.85000000000001"/>
    <n v="0.04"/>
    <x v="7"/>
  </r>
  <r>
    <d v="2024-10-20T00:00:00"/>
    <x v="6"/>
    <x v="1"/>
    <x v="0"/>
    <n v="2166"/>
    <n v="1.25"/>
    <n v="1.05"/>
    <n v="2707.5"/>
    <n v="2274.3000000000002"/>
    <n v="433.19999999999902"/>
    <n v="2166"/>
    <n v="108.30000000000001"/>
    <n v="0.04"/>
    <x v="9"/>
  </r>
  <r>
    <d v="2024-11-01T00:00:00"/>
    <x v="2"/>
    <x v="3"/>
    <x v="2"/>
    <n v="5856"/>
    <n v="1.2"/>
    <n v="1"/>
    <n v="7027.2"/>
    <n v="5856"/>
    <n v="1171.19999999999"/>
    <n v="5856"/>
    <n v="292.8"/>
    <n v="4.1666666666666671E-2"/>
    <x v="8"/>
  </r>
  <r>
    <d v="2024-04-07T00:00:00"/>
    <x v="8"/>
    <x v="0"/>
    <x v="0"/>
    <n v="3285"/>
    <n v="1.25"/>
    <n v="1.05"/>
    <n v="4106.25"/>
    <n v="3449.25"/>
    <n v="657"/>
    <n v="3285"/>
    <n v="164.25"/>
    <n v="0.04"/>
    <x v="0"/>
  </r>
  <r>
    <d v="2024-12-03T00:00:00"/>
    <x v="2"/>
    <x v="1"/>
    <x v="2"/>
    <n v="1219"/>
    <n v="1.2"/>
    <n v="1"/>
    <n v="1462.8"/>
    <n v="1219"/>
    <n v="243.79999999999899"/>
    <n v="1219"/>
    <n v="60.95"/>
    <n v="4.1666666666666671E-2"/>
    <x v="1"/>
  </r>
  <r>
    <d v="2024-10-12T00:00:00"/>
    <x v="0"/>
    <x v="4"/>
    <x v="2"/>
    <n v="905"/>
    <n v="1.2"/>
    <n v="1"/>
    <n v="1086"/>
    <n v="905"/>
    <n v="181"/>
    <n v="905"/>
    <n v="45.25"/>
    <n v="4.1666666666666664E-2"/>
    <x v="9"/>
  </r>
  <r>
    <d v="2024-11-30T00:00:00"/>
    <x v="13"/>
    <x v="3"/>
    <x v="0"/>
    <n v="2794"/>
    <n v="1.25"/>
    <n v="1.05"/>
    <n v="3492.5"/>
    <n v="2933.7"/>
    <n v="558.79999999999905"/>
    <n v="2794"/>
    <n v="139.70000000000002"/>
    <n v="4.0000000000000008E-2"/>
    <x v="8"/>
  </r>
  <r>
    <d v="2024-12-12T00:00:00"/>
    <x v="13"/>
    <x v="2"/>
    <x v="2"/>
    <n v="571"/>
    <n v="1.2"/>
    <n v="1"/>
    <n v="685.19999999999902"/>
    <n v="571"/>
    <n v="114.19999999999899"/>
    <n v="571"/>
    <n v="28.55"/>
    <n v="4.1666666666666727E-2"/>
    <x v="1"/>
  </r>
  <r>
    <d v="2024-11-03T00:00:00"/>
    <x v="1"/>
    <x v="3"/>
    <x v="2"/>
    <n v="2553"/>
    <n v="1.2"/>
    <n v="1"/>
    <n v="3063.6"/>
    <n v="2553"/>
    <n v="510.599999999999"/>
    <n v="2553"/>
    <n v="127.65"/>
    <n v="4.1666666666666671E-2"/>
    <x v="8"/>
  </r>
  <r>
    <d v="2024-09-05T00:00:00"/>
    <x v="14"/>
    <x v="4"/>
    <x v="0"/>
    <n v="1729"/>
    <n v="1.25"/>
    <n v="1.05"/>
    <n v="2161.25"/>
    <n v="1815.45"/>
    <n v="345.79999999999899"/>
    <n v="1729"/>
    <n v="86.45"/>
    <n v="0.04"/>
    <x v="2"/>
  </r>
  <r>
    <d v="2024-06-14T00:00:00"/>
    <x v="10"/>
    <x v="0"/>
    <x v="0"/>
    <n v="2067"/>
    <n v="1.25"/>
    <n v="1.05"/>
    <n v="2583.75"/>
    <n v="2170.35"/>
    <n v="413.4"/>
    <n v="2067"/>
    <n v="103.35000000000001"/>
    <n v="0.04"/>
    <x v="10"/>
  </r>
  <r>
    <d v="2024-11-30T00:00:00"/>
    <x v="7"/>
    <x v="0"/>
    <x v="0"/>
    <n v="4182"/>
    <n v="1.25"/>
    <n v="1.05"/>
    <n v="5227.5"/>
    <n v="4391.1000000000004"/>
    <n v="836.39999999999895"/>
    <n v="4182"/>
    <n v="209.10000000000002"/>
    <n v="4.0000000000000008E-2"/>
    <x v="8"/>
  </r>
  <r>
    <d v="2024-01-30T00:00:00"/>
    <x v="3"/>
    <x v="0"/>
    <x v="0"/>
    <n v="3453"/>
    <n v="1.25"/>
    <n v="1.05"/>
    <n v="4316.25"/>
    <n v="3625.65"/>
    <n v="690.599999999999"/>
    <n v="3453"/>
    <n v="172.65"/>
    <n v="0.04"/>
    <x v="5"/>
  </r>
  <r>
    <d v="2024-09-03T00:00:00"/>
    <x v="13"/>
    <x v="2"/>
    <x v="1"/>
    <n v="4982"/>
    <n v="0.9"/>
    <n v="0.7"/>
    <n v="4483.8"/>
    <n v="3487.3999999999901"/>
    <n v="996.4"/>
    <n v="4982"/>
    <n v="249.10000000000002"/>
    <n v="5.5555555555555559E-2"/>
    <x v="2"/>
  </r>
  <r>
    <d v="2024-04-15T00:00:00"/>
    <x v="8"/>
    <x v="1"/>
    <x v="0"/>
    <n v="1198"/>
    <n v="1.25"/>
    <n v="1.05"/>
    <n v="1497.5"/>
    <n v="1257.9000000000001"/>
    <n v="239.599999999999"/>
    <n v="1198"/>
    <n v="59.900000000000006"/>
    <n v="0.04"/>
    <x v="0"/>
  </r>
  <r>
    <d v="2024-02-20T00:00:00"/>
    <x v="4"/>
    <x v="1"/>
    <x v="2"/>
    <n v="5796"/>
    <n v="1.2"/>
    <n v="1"/>
    <n v="6955.2"/>
    <n v="5796"/>
    <n v="1159.19999999999"/>
    <n v="5796"/>
    <n v="289.8"/>
    <n v="4.1666666666666671E-2"/>
    <x v="11"/>
  </r>
  <r>
    <d v="2024-03-21T00:00:00"/>
    <x v="3"/>
    <x v="3"/>
    <x v="0"/>
    <n v="1326"/>
    <n v="1.25"/>
    <n v="1.05"/>
    <n v="1657.5"/>
    <n v="1392.3"/>
    <n v="265.2"/>
    <n v="1326"/>
    <n v="66.3"/>
    <n v="0.04"/>
    <x v="3"/>
  </r>
  <r>
    <d v="2024-05-12T00:00:00"/>
    <x v="12"/>
    <x v="2"/>
    <x v="0"/>
    <n v="848"/>
    <n v="1.25"/>
    <n v="1.05"/>
    <n v="1060"/>
    <n v="890.4"/>
    <n v="169.599999999999"/>
    <n v="848"/>
    <n v="42.400000000000006"/>
    <n v="4.0000000000000008E-2"/>
    <x v="6"/>
  </r>
  <r>
    <d v="2024-10-11T00:00:00"/>
    <x v="2"/>
    <x v="0"/>
    <x v="2"/>
    <n v="5874"/>
    <n v="1.2"/>
    <n v="1"/>
    <n v="7048.8"/>
    <n v="5874"/>
    <n v="1174.8"/>
    <n v="5874"/>
    <n v="293.7"/>
    <n v="4.1666666666666664E-2"/>
    <x v="9"/>
  </r>
  <r>
    <d v="2024-05-17T00:00:00"/>
    <x v="13"/>
    <x v="0"/>
    <x v="2"/>
    <n v="4408"/>
    <n v="1.2"/>
    <n v="1"/>
    <n v="5289.5999999999904"/>
    <n v="4408"/>
    <n v="881.599999999999"/>
    <n v="4408"/>
    <n v="220.4"/>
    <n v="4.1666666666666741E-2"/>
    <x v="6"/>
  </r>
  <r>
    <d v="2024-07-02T00:00:00"/>
    <x v="4"/>
    <x v="4"/>
    <x v="0"/>
    <n v="807"/>
    <n v="1.25"/>
    <n v="1.05"/>
    <n v="1008.75"/>
    <n v="847.35"/>
    <n v="161.39999999999901"/>
    <n v="807"/>
    <n v="40.35"/>
    <n v="0.04"/>
    <x v="4"/>
  </r>
  <r>
    <d v="2024-11-25T00:00:00"/>
    <x v="13"/>
    <x v="4"/>
    <x v="0"/>
    <n v="3916"/>
    <n v="1.25"/>
    <n v="1.05"/>
    <n v="4895"/>
    <n v="4111.8"/>
    <n v="783.19999999999902"/>
    <n v="3916"/>
    <n v="195.8"/>
    <n v="0.04"/>
    <x v="8"/>
  </r>
  <r>
    <d v="2024-09-29T00:00:00"/>
    <x v="7"/>
    <x v="0"/>
    <x v="0"/>
    <n v="5746"/>
    <n v="1.25"/>
    <n v="1.05"/>
    <n v="7182.5"/>
    <n v="6033.3"/>
    <n v="1149.19999999999"/>
    <n v="5746"/>
    <n v="287.3"/>
    <n v="0.04"/>
    <x v="2"/>
  </r>
  <r>
    <d v="2024-12-05T00:00:00"/>
    <x v="12"/>
    <x v="0"/>
    <x v="0"/>
    <n v="2834"/>
    <n v="1.25"/>
    <n v="1.05"/>
    <n v="3542.5"/>
    <n v="2975.7"/>
    <n v="566.79999999999905"/>
    <n v="2834"/>
    <n v="141.70000000000002"/>
    <n v="4.0000000000000008E-2"/>
    <x v="1"/>
  </r>
  <r>
    <d v="2024-03-09T00:00:00"/>
    <x v="9"/>
    <x v="2"/>
    <x v="2"/>
    <n v="5361"/>
    <n v="1.2"/>
    <n v="1"/>
    <n v="6433.2"/>
    <n v="5361"/>
    <n v="1072.19999999999"/>
    <n v="5361"/>
    <n v="268.05"/>
    <n v="4.1666666666666671E-2"/>
    <x v="3"/>
  </r>
  <r>
    <d v="2024-02-03T00:00:00"/>
    <x v="13"/>
    <x v="1"/>
    <x v="0"/>
    <n v="5320"/>
    <n v="1.25"/>
    <n v="1.05"/>
    <n v="6650"/>
    <n v="5586"/>
    <n v="1064"/>
    <n v="5320"/>
    <n v="266"/>
    <n v="0.04"/>
    <x v="11"/>
  </r>
  <r>
    <d v="2024-09-18T00:00:00"/>
    <x v="0"/>
    <x v="4"/>
    <x v="0"/>
    <n v="3309"/>
    <n v="1.25"/>
    <n v="1.05"/>
    <n v="4136.25"/>
    <n v="3474.45"/>
    <n v="661.79999999999905"/>
    <n v="3309"/>
    <n v="165.45000000000002"/>
    <n v="0.04"/>
    <x v="2"/>
  </r>
  <r>
    <d v="2024-02-22T00:00:00"/>
    <x v="8"/>
    <x v="1"/>
    <x v="0"/>
    <n v="4058"/>
    <n v="1.25"/>
    <n v="1.05"/>
    <n v="5072.5"/>
    <n v="4260.8999999999996"/>
    <n v="811.599999999999"/>
    <n v="4058"/>
    <n v="202.9"/>
    <n v="0.04"/>
    <x v="11"/>
  </r>
  <r>
    <d v="2024-07-23T00:00:00"/>
    <x v="13"/>
    <x v="2"/>
    <x v="1"/>
    <n v="4978"/>
    <n v="0.9"/>
    <n v="0.7"/>
    <n v="4480.2"/>
    <n v="3484.6"/>
    <n v="995.599999999999"/>
    <n v="4978"/>
    <n v="248.9"/>
    <n v="5.5555555555555559E-2"/>
    <x v="4"/>
  </r>
  <r>
    <d v="2024-05-05T00:00:00"/>
    <x v="10"/>
    <x v="0"/>
    <x v="1"/>
    <n v="3977"/>
    <n v="0.9"/>
    <n v="0.7"/>
    <n v="3579.3"/>
    <n v="2783.8999999999901"/>
    <n v="795.4"/>
    <n v="3977"/>
    <n v="198.85000000000002"/>
    <n v="5.5555555555555559E-2"/>
    <x v="6"/>
  </r>
  <r>
    <d v="2024-08-22T00:00:00"/>
    <x v="3"/>
    <x v="1"/>
    <x v="0"/>
    <n v="5120"/>
    <n v="1.25"/>
    <n v="1.05"/>
    <n v="6400"/>
    <n v="5376"/>
    <n v="1024"/>
    <n v="5120"/>
    <n v="256"/>
    <n v="0.04"/>
    <x v="7"/>
  </r>
  <r>
    <d v="2024-02-12T00:00:00"/>
    <x v="3"/>
    <x v="0"/>
    <x v="2"/>
    <n v="3186"/>
    <n v="1.2"/>
    <n v="1"/>
    <n v="3823.2"/>
    <n v="3186"/>
    <n v="637.19999999999902"/>
    <n v="3186"/>
    <n v="159.30000000000001"/>
    <n v="4.1666666666666671E-2"/>
    <x v="11"/>
  </r>
  <r>
    <d v="2024-08-27T00:00:00"/>
    <x v="7"/>
    <x v="0"/>
    <x v="0"/>
    <n v="3485"/>
    <n v="1.25"/>
    <n v="1.05"/>
    <n v="4356.25"/>
    <n v="3659.25"/>
    <n v="697"/>
    <n v="3485"/>
    <n v="174.25"/>
    <n v="0.04"/>
    <x v="7"/>
  </r>
  <r>
    <d v="2024-04-20T00:00:00"/>
    <x v="8"/>
    <x v="3"/>
    <x v="0"/>
    <n v="775"/>
    <n v="1.25"/>
    <n v="1.05"/>
    <n v="968.75"/>
    <n v="813.75"/>
    <n v="155"/>
    <n v="775"/>
    <n v="38.75"/>
    <n v="0.04"/>
    <x v="0"/>
  </r>
  <r>
    <d v="2024-09-05T00:00:00"/>
    <x v="12"/>
    <x v="1"/>
    <x v="2"/>
    <n v="3047"/>
    <n v="1.2"/>
    <n v="1"/>
    <n v="3656.4"/>
    <n v="3047"/>
    <n v="609.4"/>
    <n v="3047"/>
    <n v="152.35"/>
    <n v="4.1666666666666664E-2"/>
    <x v="2"/>
  </r>
  <r>
    <d v="2024-05-30T00:00:00"/>
    <x v="0"/>
    <x v="1"/>
    <x v="1"/>
    <n v="3264"/>
    <n v="0.9"/>
    <n v="0.7"/>
    <n v="2937.6"/>
    <n v="2284.7999999999902"/>
    <n v="652.79999999999995"/>
    <n v="3264"/>
    <n v="163.20000000000002"/>
    <n v="5.5555555555555566E-2"/>
    <x v="6"/>
  </r>
  <r>
    <d v="2024-07-01T00:00:00"/>
    <x v="6"/>
    <x v="0"/>
    <x v="1"/>
    <n v="836"/>
    <n v="0.9"/>
    <n v="0.7"/>
    <n v="752.4"/>
    <n v="585.19999999999902"/>
    <n v="167.2"/>
    <n v="836"/>
    <n v="41.800000000000004"/>
    <n v="5.5555555555555566E-2"/>
    <x v="4"/>
  </r>
  <r>
    <d v="2024-12-01T00:00:00"/>
    <x v="8"/>
    <x v="2"/>
    <x v="2"/>
    <n v="2473"/>
    <n v="1.2"/>
    <n v="1"/>
    <n v="2967.6"/>
    <n v="2473"/>
    <n v="494.599999999999"/>
    <n v="2473"/>
    <n v="123.65"/>
    <n v="4.1666666666666671E-2"/>
    <x v="1"/>
  </r>
  <r>
    <d v="2024-04-04T00:00:00"/>
    <x v="3"/>
    <x v="3"/>
    <x v="0"/>
    <n v="3479"/>
    <n v="1.25"/>
    <n v="1.05"/>
    <n v="4348.75"/>
    <n v="3652.95"/>
    <n v="695.79999999999905"/>
    <n v="3479"/>
    <n v="173.95000000000002"/>
    <n v="0.04"/>
    <x v="0"/>
  </r>
  <r>
    <d v="2024-01-08T00:00:00"/>
    <x v="10"/>
    <x v="0"/>
    <x v="2"/>
    <n v="5076"/>
    <n v="1.2"/>
    <n v="1"/>
    <n v="6091.2"/>
    <n v="5076"/>
    <n v="1015.19999999999"/>
    <n v="5076"/>
    <n v="253.8"/>
    <n v="4.1666666666666671E-2"/>
    <x v="5"/>
  </r>
  <r>
    <d v="2024-12-25T00:00:00"/>
    <x v="9"/>
    <x v="4"/>
    <x v="0"/>
    <n v="4468"/>
    <n v="1.25"/>
    <n v="1.05"/>
    <n v="5585"/>
    <n v="4691.3999999999996"/>
    <n v="893.599999999999"/>
    <n v="4468"/>
    <n v="223.4"/>
    <n v="0.04"/>
    <x v="1"/>
  </r>
  <r>
    <d v="2024-07-02T00:00:00"/>
    <x v="7"/>
    <x v="4"/>
    <x v="2"/>
    <n v="1410"/>
    <n v="1.2"/>
    <n v="1"/>
    <n v="1692"/>
    <n v="1410"/>
    <n v="282"/>
    <n v="1410"/>
    <n v="70.5"/>
    <n v="4.1666666666666664E-2"/>
    <x v="4"/>
  </r>
  <r>
    <d v="2024-10-07T00:00:00"/>
    <x v="6"/>
    <x v="3"/>
    <x v="0"/>
    <n v="2496"/>
    <n v="1.25"/>
    <n v="1.05"/>
    <n v="3120"/>
    <n v="2620.8000000000002"/>
    <n v="499.19999999999902"/>
    <n v="2496"/>
    <n v="124.80000000000001"/>
    <n v="0.04"/>
    <x v="9"/>
  </r>
  <r>
    <d v="2024-07-13T00:00:00"/>
    <x v="10"/>
    <x v="2"/>
    <x v="2"/>
    <n v="3629"/>
    <n v="1.2"/>
    <n v="1"/>
    <n v="4354.8"/>
    <n v="3629"/>
    <n v="725.8"/>
    <n v="3629"/>
    <n v="181.45000000000002"/>
    <n v="4.1666666666666671E-2"/>
    <x v="4"/>
  </r>
  <r>
    <d v="2024-12-17T00:00:00"/>
    <x v="12"/>
    <x v="0"/>
    <x v="0"/>
    <n v="5947"/>
    <n v="1.25"/>
    <n v="1.05"/>
    <n v="7433.75"/>
    <n v="6244.35"/>
    <n v="1189.3999999999901"/>
    <n v="5947"/>
    <n v="297.35000000000002"/>
    <n v="0.04"/>
    <x v="1"/>
  </r>
  <r>
    <d v="2024-07-13T00:00:00"/>
    <x v="2"/>
    <x v="1"/>
    <x v="0"/>
    <n v="4704"/>
    <n v="1.25"/>
    <n v="1.05"/>
    <n v="5880"/>
    <n v="4939.2"/>
    <n v="940.8"/>
    <n v="4704"/>
    <n v="235.20000000000002"/>
    <n v="0.04"/>
    <x v="4"/>
  </r>
  <r>
    <d v="2024-06-03T00:00:00"/>
    <x v="12"/>
    <x v="3"/>
    <x v="1"/>
    <n v="4257"/>
    <n v="0.9"/>
    <n v="0.7"/>
    <n v="3831.3"/>
    <n v="2979.8999999999901"/>
    <n v="851.4"/>
    <n v="4257"/>
    <n v="212.85000000000002"/>
    <n v="5.5555555555555559E-2"/>
    <x v="10"/>
  </r>
  <r>
    <d v="2024-04-02T00:00:00"/>
    <x v="10"/>
    <x v="2"/>
    <x v="0"/>
    <n v="827"/>
    <n v="1.25"/>
    <n v="1.05"/>
    <n v="1033.75"/>
    <n v="868.35"/>
    <n v="165.39999999999901"/>
    <n v="827"/>
    <n v="41.35"/>
    <n v="0.04"/>
    <x v="0"/>
  </r>
  <r>
    <d v="2024-06-08T00:00:00"/>
    <x v="2"/>
    <x v="1"/>
    <x v="2"/>
    <n v="2299"/>
    <n v="1.2"/>
    <n v="1"/>
    <n v="2758.7999999999902"/>
    <n v="2299"/>
    <n v="459.79999999999899"/>
    <n v="2299"/>
    <n v="114.95"/>
    <n v="4.1666666666666817E-2"/>
    <x v="10"/>
  </r>
  <r>
    <d v="2024-03-01T00:00:00"/>
    <x v="5"/>
    <x v="4"/>
    <x v="0"/>
    <n v="814"/>
    <n v="1.25"/>
    <n v="1.05"/>
    <n v="1017.5"/>
    <n v="854.7"/>
    <n v="162.79999999999899"/>
    <n v="814"/>
    <n v="40.700000000000003"/>
    <n v="0.04"/>
    <x v="3"/>
  </r>
  <r>
    <d v="2024-05-01T00:00:00"/>
    <x v="7"/>
    <x v="4"/>
    <x v="0"/>
    <n v="4045"/>
    <n v="1.25"/>
    <n v="1.05"/>
    <n v="5056.25"/>
    <n v="4247.25"/>
    <n v="809"/>
    <n v="4045"/>
    <n v="202.25"/>
    <n v="0.04"/>
    <x v="6"/>
  </r>
  <r>
    <d v="2024-02-20T00:00:00"/>
    <x v="8"/>
    <x v="1"/>
    <x v="0"/>
    <n v="1634"/>
    <n v="1.25"/>
    <n v="1.05"/>
    <n v="2042.5"/>
    <n v="1715.7"/>
    <n v="326.79999999999899"/>
    <n v="1634"/>
    <n v="81.7"/>
    <n v="0.04"/>
    <x v="11"/>
  </r>
  <r>
    <d v="2024-10-03T00:00:00"/>
    <x v="2"/>
    <x v="3"/>
    <x v="0"/>
    <n v="3246"/>
    <n v="1.25"/>
    <n v="1.05"/>
    <n v="4057.5"/>
    <n v="3408.3"/>
    <n v="649.19999999999902"/>
    <n v="3246"/>
    <n v="162.30000000000001"/>
    <n v="0.04"/>
    <x v="9"/>
  </r>
  <r>
    <d v="2024-01-05T00:00:00"/>
    <x v="14"/>
    <x v="4"/>
    <x v="1"/>
    <n v="5376"/>
    <n v="0.9"/>
    <n v="0.7"/>
    <n v="4838.3999999999996"/>
    <n v="3763.2"/>
    <n v="1075.2"/>
    <n v="5376"/>
    <n v="268.8"/>
    <n v="5.5555555555555559E-2"/>
    <x v="5"/>
  </r>
  <r>
    <d v="2024-04-01T00:00:00"/>
    <x v="2"/>
    <x v="0"/>
    <x v="0"/>
    <n v="2020"/>
    <n v="1.25"/>
    <n v="1.05"/>
    <n v="2525"/>
    <n v="2121"/>
    <n v="404"/>
    <n v="2020"/>
    <n v="101"/>
    <n v="0.04"/>
    <x v="0"/>
  </r>
  <r>
    <d v="2024-06-18T00:00:00"/>
    <x v="4"/>
    <x v="1"/>
    <x v="1"/>
    <n v="655"/>
    <n v="0.9"/>
    <n v="0.7"/>
    <n v="589.5"/>
    <n v="458.49999999999898"/>
    <n v="131"/>
    <n v="655"/>
    <n v="32.75"/>
    <n v="5.5555555555555552E-2"/>
    <x v="10"/>
  </r>
  <r>
    <d v="2024-11-12T00:00:00"/>
    <x v="9"/>
    <x v="1"/>
    <x v="2"/>
    <n v="2224"/>
    <n v="1.2"/>
    <n v="1"/>
    <n v="2668.7999999999902"/>
    <n v="2224"/>
    <n v="444.79999999999899"/>
    <n v="2224"/>
    <n v="111.2"/>
    <n v="4.1666666666666824E-2"/>
    <x v="8"/>
  </r>
  <r>
    <d v="2024-01-22T00:00:00"/>
    <x v="4"/>
    <x v="4"/>
    <x v="0"/>
    <n v="3843"/>
    <n v="1.25"/>
    <n v="1.05"/>
    <n v="4803.75"/>
    <n v="4035.15"/>
    <n v="768.599999999999"/>
    <n v="3843"/>
    <n v="192.15"/>
    <n v="0.04"/>
    <x v="5"/>
  </r>
  <r>
    <d v="2024-11-21T00:00:00"/>
    <x v="8"/>
    <x v="3"/>
    <x v="2"/>
    <n v="1386"/>
    <n v="1.2"/>
    <n v="1"/>
    <n v="1663.2"/>
    <n v="1386"/>
    <n v="277.2"/>
    <n v="1386"/>
    <n v="69.3"/>
    <n v="4.1666666666666664E-2"/>
    <x v="8"/>
  </r>
  <r>
    <d v="2024-01-01T00:00:00"/>
    <x v="8"/>
    <x v="0"/>
    <x v="2"/>
    <n v="3573"/>
    <n v="1.2"/>
    <n v="1"/>
    <n v="4287.5999999999904"/>
    <n v="3573"/>
    <n v="714.599999999999"/>
    <n v="3573"/>
    <n v="178.65"/>
    <n v="4.1666666666666761E-2"/>
    <x v="5"/>
  </r>
  <r>
    <d v="2024-05-12T00:00:00"/>
    <x v="7"/>
    <x v="3"/>
    <x v="2"/>
    <n v="3305"/>
    <n v="1.2"/>
    <n v="1"/>
    <n v="3966"/>
    <n v="3305"/>
    <n v="661"/>
    <n v="3305"/>
    <n v="165.25"/>
    <n v="4.1666666666666664E-2"/>
    <x v="6"/>
  </r>
  <r>
    <d v="2024-08-20T00:00:00"/>
    <x v="8"/>
    <x v="2"/>
    <x v="0"/>
    <n v="1221"/>
    <n v="1.25"/>
    <n v="1.05"/>
    <n v="1526.25"/>
    <n v="1282.05"/>
    <n v="244.2"/>
    <n v="1221"/>
    <n v="61.050000000000004"/>
    <n v="0.04"/>
    <x v="7"/>
  </r>
  <r>
    <d v="2024-01-12T00:00:00"/>
    <x v="3"/>
    <x v="2"/>
    <x v="0"/>
    <n v="1412"/>
    <n v="1.25"/>
    <n v="1.05"/>
    <n v="1765"/>
    <n v="1482.6"/>
    <n v="282.39999999999901"/>
    <n v="1412"/>
    <n v="70.600000000000009"/>
    <n v="4.0000000000000008E-2"/>
    <x v="5"/>
  </r>
  <r>
    <d v="2024-12-11T00:00:00"/>
    <x v="2"/>
    <x v="4"/>
    <x v="1"/>
    <n v="3857"/>
    <n v="0.9"/>
    <n v="0.7"/>
    <n v="3471.3"/>
    <n v="2699.8999999999901"/>
    <n v="771.4"/>
    <n v="3857"/>
    <n v="192.85000000000002"/>
    <n v="5.5555555555555559E-2"/>
    <x v="1"/>
  </r>
  <r>
    <d v="2024-02-15T00:00:00"/>
    <x v="2"/>
    <x v="4"/>
    <x v="1"/>
    <n v="1370"/>
    <n v="0.9"/>
    <n v="0.7"/>
    <n v="1233"/>
    <n v="958.99999999999898"/>
    <n v="274"/>
    <n v="1370"/>
    <n v="68.5"/>
    <n v="5.5555555555555552E-2"/>
    <x v="11"/>
  </r>
  <r>
    <d v="2024-02-03T00:00:00"/>
    <x v="5"/>
    <x v="4"/>
    <x v="1"/>
    <n v="4608"/>
    <n v="0.9"/>
    <n v="0.7"/>
    <n v="4147.2"/>
    <n v="3225.6"/>
    <n v="921.599999999999"/>
    <n v="4608"/>
    <n v="230.4"/>
    <n v="5.5555555555555559E-2"/>
    <x v="11"/>
  </r>
  <r>
    <d v="2024-03-18T00:00:00"/>
    <x v="6"/>
    <x v="2"/>
    <x v="0"/>
    <n v="997"/>
    <n v="1.25"/>
    <n v="1.05"/>
    <n v="1246.25"/>
    <n v="1046.8499999999999"/>
    <n v="199.39999999999901"/>
    <n v="997"/>
    <n v="49.85"/>
    <n v="0.04"/>
    <x v="3"/>
  </r>
  <r>
    <d v="2024-08-05T00:00:00"/>
    <x v="8"/>
    <x v="3"/>
    <x v="2"/>
    <n v="2256"/>
    <n v="1.2"/>
    <n v="1"/>
    <n v="2707.2"/>
    <n v="2256"/>
    <n v="451.19999999999902"/>
    <n v="2256"/>
    <n v="112.80000000000001"/>
    <n v="4.1666666666666671E-2"/>
    <x v="7"/>
  </r>
  <r>
    <d v="2024-10-27T00:00:00"/>
    <x v="4"/>
    <x v="3"/>
    <x v="0"/>
    <n v="1617"/>
    <n v="1.25"/>
    <n v="1.05"/>
    <n v="2021.25"/>
    <n v="1697.85"/>
    <n v="323.39999999999901"/>
    <n v="1617"/>
    <n v="80.850000000000009"/>
    <n v="0.04"/>
    <x v="9"/>
  </r>
  <r>
    <d v="2024-03-13T00:00:00"/>
    <x v="8"/>
    <x v="4"/>
    <x v="0"/>
    <n v="3909"/>
    <n v="1.25"/>
    <n v="1.05"/>
    <n v="4886.25"/>
    <n v="4104.45"/>
    <n v="781.8"/>
    <n v="3909"/>
    <n v="195.45000000000002"/>
    <n v="0.04"/>
    <x v="3"/>
  </r>
  <r>
    <d v="2024-10-08T00:00:00"/>
    <x v="12"/>
    <x v="0"/>
    <x v="0"/>
    <n v="3328"/>
    <n v="1.25"/>
    <n v="1.05"/>
    <n v="4160"/>
    <n v="3494.4"/>
    <n v="665.599999999999"/>
    <n v="3328"/>
    <n v="166.4"/>
    <n v="0.04"/>
    <x v="9"/>
  </r>
  <r>
    <d v="2024-09-05T00:00:00"/>
    <x v="5"/>
    <x v="3"/>
    <x v="2"/>
    <n v="5790"/>
    <n v="1.2"/>
    <n v="1"/>
    <n v="6948"/>
    <n v="5790"/>
    <n v="1158"/>
    <n v="5790"/>
    <n v="289.5"/>
    <n v="4.1666666666666664E-2"/>
    <x v="2"/>
  </r>
  <r>
    <d v="2024-02-16T00:00:00"/>
    <x v="3"/>
    <x v="2"/>
    <x v="0"/>
    <n v="2147"/>
    <n v="1.25"/>
    <n v="1.05"/>
    <n v="2683.75"/>
    <n v="2254.35"/>
    <n v="429.4"/>
    <n v="2147"/>
    <n v="107.35000000000001"/>
    <n v="0.04"/>
    <x v="11"/>
  </r>
  <r>
    <d v="2024-04-30T00:00:00"/>
    <x v="3"/>
    <x v="1"/>
    <x v="0"/>
    <n v="3483"/>
    <n v="1.25"/>
    <n v="1.05"/>
    <n v="4353.75"/>
    <n v="3657.15"/>
    <n v="696.599999999999"/>
    <n v="3483"/>
    <n v="174.15"/>
    <n v="0.04"/>
    <x v="0"/>
  </r>
  <r>
    <d v="2024-08-01T00:00:00"/>
    <x v="13"/>
    <x v="1"/>
    <x v="1"/>
    <n v="642"/>
    <n v="0.9"/>
    <n v="0.7"/>
    <n v="577.79999999999995"/>
    <n v="449.4"/>
    <n v="128.4"/>
    <n v="642"/>
    <n v="32.1"/>
    <n v="5.5555555555555559E-2"/>
    <x v="7"/>
  </r>
  <r>
    <d v="2024-08-26T00:00:00"/>
    <x v="2"/>
    <x v="1"/>
    <x v="0"/>
    <n v="5820"/>
    <n v="1.25"/>
    <n v="1.05"/>
    <n v="7275"/>
    <n v="6111"/>
    <n v="1164"/>
    <n v="5820"/>
    <n v="291"/>
    <n v="0.04"/>
    <x v="7"/>
  </r>
  <r>
    <d v="2024-02-25T00:00:00"/>
    <x v="3"/>
    <x v="0"/>
    <x v="0"/>
    <n v="3261"/>
    <n v="1.25"/>
    <n v="1.05"/>
    <n v="4076.25"/>
    <n v="3424.05"/>
    <n v="652.19999999999902"/>
    <n v="3261"/>
    <n v="163.05000000000001"/>
    <n v="0.04"/>
    <x v="11"/>
  </r>
  <r>
    <d v="2024-12-15T00:00:00"/>
    <x v="2"/>
    <x v="4"/>
    <x v="0"/>
    <n v="3935"/>
    <n v="1.25"/>
    <n v="1.05"/>
    <n v="4918.75"/>
    <n v="4131.75"/>
    <n v="787"/>
    <n v="3935"/>
    <n v="196.75"/>
    <n v="0.04"/>
    <x v="1"/>
  </r>
  <r>
    <d v="2024-04-16T00:00:00"/>
    <x v="13"/>
    <x v="2"/>
    <x v="1"/>
    <n v="5160"/>
    <n v="0.9"/>
    <n v="0.7"/>
    <n v="4644"/>
    <n v="3611.99999999999"/>
    <n v="1032"/>
    <n v="5160"/>
    <n v="258"/>
    <n v="5.5555555555555552E-2"/>
    <x v="0"/>
  </r>
  <r>
    <d v="2024-11-14T00:00:00"/>
    <x v="10"/>
    <x v="0"/>
    <x v="2"/>
    <n v="2931"/>
    <n v="1.2"/>
    <n v="1"/>
    <n v="3517.2"/>
    <n v="2931"/>
    <n v="586.19999999999902"/>
    <n v="2931"/>
    <n v="146.55000000000001"/>
    <n v="4.1666666666666671E-2"/>
    <x v="8"/>
  </r>
  <r>
    <d v="2024-02-17T00:00:00"/>
    <x v="9"/>
    <x v="2"/>
    <x v="0"/>
    <n v="5012"/>
    <n v="1.25"/>
    <n v="1.05"/>
    <n v="6265"/>
    <n v="5262.6"/>
    <n v="1002.39999999999"/>
    <n v="5012"/>
    <n v="250.60000000000002"/>
    <n v="0.04"/>
    <x v="11"/>
  </r>
  <r>
    <d v="2024-03-01T00:00:00"/>
    <x v="1"/>
    <x v="2"/>
    <x v="2"/>
    <n v="2348"/>
    <n v="1.2"/>
    <n v="1"/>
    <n v="2817.6"/>
    <n v="2348"/>
    <n v="469.599999999999"/>
    <n v="2348"/>
    <n v="117.4"/>
    <n v="4.1666666666666671E-2"/>
    <x v="3"/>
  </r>
  <r>
    <d v="2024-12-02T00:00:00"/>
    <x v="0"/>
    <x v="4"/>
    <x v="2"/>
    <n v="3196"/>
    <n v="1.2"/>
    <n v="1"/>
    <n v="3835.2"/>
    <n v="3196"/>
    <n v="639.19999999999902"/>
    <n v="3196"/>
    <n v="159.80000000000001"/>
    <n v="4.1666666666666671E-2"/>
    <x v="1"/>
  </r>
  <r>
    <d v="2024-01-26T00:00:00"/>
    <x v="3"/>
    <x v="1"/>
    <x v="0"/>
    <n v="2217"/>
    <n v="1.25"/>
    <n v="1.05"/>
    <n v="2771.25"/>
    <n v="2327.85"/>
    <n v="443.4"/>
    <n v="2217"/>
    <n v="110.85000000000001"/>
    <n v="0.04"/>
    <x v="5"/>
  </r>
  <r>
    <d v="2024-10-18T00:00:00"/>
    <x v="6"/>
    <x v="4"/>
    <x v="2"/>
    <n v="5986"/>
    <n v="1.2"/>
    <n v="1"/>
    <n v="7183.2"/>
    <n v="5986"/>
    <n v="1197.19999999999"/>
    <n v="5986"/>
    <n v="299.3"/>
    <n v="4.1666666666666671E-2"/>
    <x v="9"/>
  </r>
  <r>
    <d v="2024-09-13T00:00:00"/>
    <x v="12"/>
    <x v="0"/>
    <x v="2"/>
    <n v="3572"/>
    <n v="1.2"/>
    <n v="1"/>
    <n v="4286.3999999999996"/>
    <n v="3572"/>
    <n v="714.39999999999895"/>
    <n v="3572"/>
    <n v="178.60000000000002"/>
    <n v="4.1666666666666678E-2"/>
    <x v="2"/>
  </r>
  <r>
    <d v="2024-01-08T00:00:00"/>
    <x v="11"/>
    <x v="0"/>
    <x v="2"/>
    <n v="1567"/>
    <n v="1.2"/>
    <n v="1"/>
    <n v="1880.3999999999901"/>
    <n v="1567"/>
    <n v="313.39999999999901"/>
    <n v="1567"/>
    <n v="78.350000000000009"/>
    <n v="4.1666666666666893E-2"/>
    <x v="5"/>
  </r>
  <r>
    <d v="2024-04-22T00:00:00"/>
    <x v="10"/>
    <x v="0"/>
    <x v="0"/>
    <n v="3286"/>
    <n v="1.25"/>
    <n v="1.05"/>
    <n v="4107.5"/>
    <n v="3450.3"/>
    <n v="657.19999999999902"/>
    <n v="3286"/>
    <n v="164.3"/>
    <n v="0.04"/>
    <x v="0"/>
  </r>
  <r>
    <d v="2024-12-20T00:00:00"/>
    <x v="3"/>
    <x v="4"/>
    <x v="1"/>
    <n v="5717"/>
    <n v="0.9"/>
    <n v="0.7"/>
    <n v="5145.3"/>
    <n v="4001.8999999999901"/>
    <n v="1143.4000000000001"/>
    <n v="5717"/>
    <n v="285.85000000000002"/>
    <n v="5.5555555555555559E-2"/>
    <x v="1"/>
  </r>
  <r>
    <d v="2024-09-09T00:00:00"/>
    <x v="2"/>
    <x v="2"/>
    <x v="2"/>
    <n v="4291"/>
    <n v="1.2"/>
    <n v="1"/>
    <n v="5149.2"/>
    <n v="4291"/>
    <n v="858.19999999999902"/>
    <n v="4291"/>
    <n v="214.55"/>
    <n v="4.1666666666666671E-2"/>
    <x v="2"/>
  </r>
  <r>
    <d v="2024-06-28T00:00:00"/>
    <x v="9"/>
    <x v="2"/>
    <x v="0"/>
    <n v="1788"/>
    <n v="1.25"/>
    <n v="1.05"/>
    <n v="2235"/>
    <n v="1877.4"/>
    <n v="357.599999999999"/>
    <n v="1788"/>
    <n v="89.4"/>
    <n v="0.04"/>
    <x v="10"/>
  </r>
  <r>
    <d v="2024-07-25T00:00:00"/>
    <x v="13"/>
    <x v="3"/>
    <x v="0"/>
    <n v="4371"/>
    <n v="1.25"/>
    <n v="1.05"/>
    <n v="5463.75"/>
    <n v="4589.55"/>
    <n v="874.19999999999902"/>
    <n v="4371"/>
    <n v="218.55"/>
    <n v="0.04"/>
    <x v="4"/>
  </r>
  <r>
    <d v="2024-10-29T00:00:00"/>
    <x v="4"/>
    <x v="0"/>
    <x v="0"/>
    <n v="2306"/>
    <n v="1.25"/>
    <n v="1.05"/>
    <n v="2882.5"/>
    <n v="2421.3000000000002"/>
    <n v="461.19999999999902"/>
    <n v="2306"/>
    <n v="115.30000000000001"/>
    <n v="0.04"/>
    <x v="9"/>
  </r>
  <r>
    <d v="2024-05-06T00:00:00"/>
    <x v="0"/>
    <x v="2"/>
    <x v="0"/>
    <n v="2004"/>
    <n v="1.25"/>
    <n v="1.05"/>
    <n v="2505"/>
    <n v="2104.1999999999998"/>
    <n v="400.79999999999899"/>
    <n v="2004"/>
    <n v="100.2"/>
    <n v="0.04"/>
    <x v="6"/>
  </r>
  <r>
    <d v="2024-02-25T00:00:00"/>
    <x v="11"/>
    <x v="3"/>
    <x v="2"/>
    <n v="3808"/>
    <n v="1.2"/>
    <n v="1"/>
    <n v="4569.5999999999904"/>
    <n v="3808"/>
    <n v="761.599999999999"/>
    <n v="3808"/>
    <n v="190.4"/>
    <n v="4.1666666666666755E-2"/>
    <x v="11"/>
  </r>
  <r>
    <d v="2024-08-01T00:00:00"/>
    <x v="9"/>
    <x v="2"/>
    <x v="0"/>
    <n v="5612"/>
    <n v="1.25"/>
    <n v="1.05"/>
    <n v="7015"/>
    <n v="5892.6"/>
    <n v="1122.3999999999901"/>
    <n v="5612"/>
    <n v="280.60000000000002"/>
    <n v="0.04"/>
    <x v="7"/>
  </r>
  <r>
    <d v="2024-01-14T00:00:00"/>
    <x v="9"/>
    <x v="0"/>
    <x v="0"/>
    <n v="5548"/>
    <n v="1.25"/>
    <n v="1.05"/>
    <n v="6935"/>
    <n v="5825.4"/>
    <n v="1109.5999999999899"/>
    <n v="5548"/>
    <n v="277.40000000000003"/>
    <n v="4.0000000000000008E-2"/>
    <x v="5"/>
  </r>
  <r>
    <d v="2024-01-28T00:00:00"/>
    <x v="3"/>
    <x v="1"/>
    <x v="2"/>
    <n v="3451"/>
    <n v="1.2"/>
    <n v="1"/>
    <n v="4141.2"/>
    <n v="3451"/>
    <n v="690.19999999999902"/>
    <n v="3451"/>
    <n v="172.55"/>
    <n v="4.1666666666666671E-2"/>
    <x v="5"/>
  </r>
  <r>
    <d v="2024-03-18T00:00:00"/>
    <x v="10"/>
    <x v="0"/>
    <x v="0"/>
    <n v="571"/>
    <n v="1.25"/>
    <n v="1.05"/>
    <n v="713.75"/>
    <n v="599.54999999999995"/>
    <n v="114.19999999999899"/>
    <n v="571"/>
    <n v="28.55"/>
    <n v="0.04"/>
    <x v="3"/>
  </r>
  <r>
    <d v="2024-08-03T00:00:00"/>
    <x v="14"/>
    <x v="4"/>
    <x v="1"/>
    <n v="2190"/>
    <n v="0.9"/>
    <n v="0.7"/>
    <n v="1971"/>
    <n v="1533"/>
    <n v="438"/>
    <n v="2190"/>
    <n v="109.5"/>
    <n v="5.5555555555555552E-2"/>
    <x v="7"/>
  </r>
  <r>
    <d v="2024-12-30T00:00:00"/>
    <x v="11"/>
    <x v="2"/>
    <x v="0"/>
    <n v="5887"/>
    <n v="1.25"/>
    <n v="1.05"/>
    <n v="7358.75"/>
    <n v="6181.35"/>
    <n v="1177.3999999999901"/>
    <n v="5887"/>
    <n v="294.35000000000002"/>
    <n v="0.04"/>
    <x v="1"/>
  </r>
  <r>
    <d v="2024-06-02T00:00:00"/>
    <x v="0"/>
    <x v="2"/>
    <x v="0"/>
    <n v="1844"/>
    <n v="1.25"/>
    <n v="1.05"/>
    <n v="2305"/>
    <n v="1936.2"/>
    <n v="368.79999999999899"/>
    <n v="1844"/>
    <n v="92.2"/>
    <n v="0.04"/>
    <x v="10"/>
  </r>
  <r>
    <d v="2024-01-14T00:00:00"/>
    <x v="7"/>
    <x v="4"/>
    <x v="0"/>
    <n v="3803"/>
    <n v="1.25"/>
    <n v="1.05"/>
    <n v="4753.75"/>
    <n v="3993.15"/>
    <n v="760.599999999999"/>
    <n v="3803"/>
    <n v="190.15"/>
    <n v="0.04"/>
    <x v="5"/>
  </r>
  <r>
    <d v="2024-07-05T00:00:00"/>
    <x v="1"/>
    <x v="4"/>
    <x v="0"/>
    <n v="3613"/>
    <n v="1.25"/>
    <n v="1.05"/>
    <n v="4516.25"/>
    <n v="3793.65"/>
    <n v="722.599999999999"/>
    <n v="3613"/>
    <n v="180.65"/>
    <n v="0.04"/>
    <x v="4"/>
  </r>
  <r>
    <d v="2024-11-07T00:00:00"/>
    <x v="7"/>
    <x v="1"/>
    <x v="0"/>
    <n v="1382"/>
    <n v="1.25"/>
    <n v="1.05"/>
    <n v="1727.5"/>
    <n v="1451.1"/>
    <n v="276.39999999999901"/>
    <n v="1382"/>
    <n v="69.100000000000009"/>
    <n v="4.0000000000000008E-2"/>
    <x v="8"/>
  </r>
  <r>
    <d v="2024-01-07T00:00:00"/>
    <x v="14"/>
    <x v="2"/>
    <x v="2"/>
    <n v="4734"/>
    <n v="1.2"/>
    <n v="1"/>
    <n v="5680.8"/>
    <n v="4734"/>
    <n v="946.8"/>
    <n v="4734"/>
    <n v="236.70000000000002"/>
    <n v="4.1666666666666671E-2"/>
    <x v="5"/>
  </r>
  <r>
    <d v="2024-01-03T00:00:00"/>
    <x v="2"/>
    <x v="2"/>
    <x v="1"/>
    <n v="3162"/>
    <n v="0.9"/>
    <n v="0.7"/>
    <n v="2845.8"/>
    <n v="2213.3999999999901"/>
    <n v="632.4"/>
    <n v="3162"/>
    <n v="158.10000000000002"/>
    <n v="5.5555555555555559E-2"/>
    <x v="5"/>
  </r>
  <r>
    <d v="2024-04-20T00:00:00"/>
    <x v="2"/>
    <x v="1"/>
    <x v="0"/>
    <n v="2004"/>
    <n v="1.25"/>
    <n v="1.05"/>
    <n v="2505"/>
    <n v="2104.1999999999998"/>
    <n v="400.79999999999899"/>
    <n v="2004"/>
    <n v="100.2"/>
    <n v="0.04"/>
    <x v="0"/>
  </r>
  <r>
    <d v="2024-08-25T00:00:00"/>
    <x v="12"/>
    <x v="3"/>
    <x v="2"/>
    <n v="2963"/>
    <n v="1.2"/>
    <n v="1"/>
    <n v="3555.6"/>
    <n v="2963"/>
    <n v="592.599999999999"/>
    <n v="2963"/>
    <n v="148.15"/>
    <n v="4.1666666666666671E-2"/>
    <x v="7"/>
  </r>
  <r>
    <d v="2024-12-28T00:00:00"/>
    <x v="11"/>
    <x v="1"/>
    <x v="2"/>
    <n v="3053"/>
    <n v="1.2"/>
    <n v="1"/>
    <n v="3663.6"/>
    <n v="3053"/>
    <n v="610.599999999999"/>
    <n v="3053"/>
    <n v="152.65"/>
    <n v="4.1666666666666671E-2"/>
    <x v="1"/>
  </r>
  <r>
    <d v="2024-08-26T00:00:00"/>
    <x v="7"/>
    <x v="0"/>
    <x v="2"/>
    <n v="1232"/>
    <n v="1.2"/>
    <n v="1"/>
    <n v="1478.3999999999901"/>
    <n v="1232"/>
    <n v="246.39999999999901"/>
    <n v="1232"/>
    <n v="61.6"/>
    <n v="4.1666666666666949E-2"/>
    <x v="7"/>
  </r>
  <r>
    <d v="2024-09-30T00:00:00"/>
    <x v="2"/>
    <x v="2"/>
    <x v="0"/>
    <n v="2248"/>
    <n v="1.25"/>
    <n v="1.05"/>
    <n v="2810"/>
    <n v="2360.4"/>
    <n v="449.599999999999"/>
    <n v="2248"/>
    <n v="112.4"/>
    <n v="0.04"/>
    <x v="2"/>
  </r>
  <r>
    <d v="2024-10-20T00:00:00"/>
    <x v="14"/>
    <x v="4"/>
    <x v="0"/>
    <n v="4424"/>
    <n v="1.25"/>
    <n v="1.05"/>
    <n v="5530"/>
    <n v="4645.2"/>
    <n v="884.8"/>
    <n v="4424"/>
    <n v="221.20000000000002"/>
    <n v="0.04"/>
    <x v="9"/>
  </r>
  <r>
    <d v="2024-08-14T00:00:00"/>
    <x v="3"/>
    <x v="0"/>
    <x v="0"/>
    <n v="923"/>
    <n v="1.25"/>
    <n v="1.05"/>
    <n v="1153.75"/>
    <n v="969.15"/>
    <n v="184.599999999999"/>
    <n v="923"/>
    <n v="46.150000000000006"/>
    <n v="4.0000000000000008E-2"/>
    <x v="7"/>
  </r>
  <r>
    <d v="2024-01-15T00:00:00"/>
    <x v="5"/>
    <x v="2"/>
    <x v="2"/>
    <n v="3978"/>
    <n v="1.2"/>
    <n v="1"/>
    <n v="4773.5999999999904"/>
    <n v="3978"/>
    <n v="795.599999999999"/>
    <n v="3978"/>
    <n v="198.9"/>
    <n v="4.1666666666666755E-2"/>
    <x v="5"/>
  </r>
  <r>
    <d v="2024-07-10T00:00:00"/>
    <x v="13"/>
    <x v="1"/>
    <x v="2"/>
    <n v="2091"/>
    <n v="1.2"/>
    <n v="1"/>
    <n v="2509.1999999999998"/>
    <n v="2091"/>
    <n v="418.19999999999902"/>
    <n v="2091"/>
    <n v="104.55000000000001"/>
    <n v="4.1666666666666671E-2"/>
    <x v="4"/>
  </r>
  <r>
    <d v="2024-04-28T00:00:00"/>
    <x v="5"/>
    <x v="0"/>
    <x v="0"/>
    <n v="4985"/>
    <n v="1.25"/>
    <n v="1.05"/>
    <n v="6231.25"/>
    <n v="5234.25"/>
    <n v="997"/>
    <n v="4985"/>
    <n v="249.25"/>
    <n v="0.04"/>
    <x v="0"/>
  </r>
  <r>
    <d v="2024-01-28T00:00:00"/>
    <x v="8"/>
    <x v="2"/>
    <x v="0"/>
    <n v="4937"/>
    <n v="1.25"/>
    <n v="1.05"/>
    <n v="6171.25"/>
    <n v="5183.8500000000004"/>
    <n v="987.39999999999895"/>
    <n v="4937"/>
    <n v="246.85000000000002"/>
    <n v="0.04"/>
    <x v="5"/>
  </r>
  <r>
    <d v="2024-07-20T00:00:00"/>
    <x v="0"/>
    <x v="3"/>
    <x v="1"/>
    <n v="5541"/>
    <n v="0.9"/>
    <n v="0.7"/>
    <n v="4986.8999999999996"/>
    <n v="3878.7"/>
    <n v="1108.2"/>
    <n v="5541"/>
    <n v="277.05"/>
    <n v="5.5555555555555559E-2"/>
    <x v="4"/>
  </r>
  <r>
    <d v="2024-02-08T00:00:00"/>
    <x v="7"/>
    <x v="3"/>
    <x v="2"/>
    <n v="5209"/>
    <n v="1.2"/>
    <n v="1"/>
    <n v="6250.8"/>
    <n v="5209"/>
    <n v="1041.8"/>
    <n v="5209"/>
    <n v="260.45"/>
    <n v="4.1666666666666664E-2"/>
    <x v="11"/>
  </r>
  <r>
    <d v="2024-09-29T00:00:00"/>
    <x v="12"/>
    <x v="4"/>
    <x v="1"/>
    <n v="992"/>
    <n v="0.9"/>
    <n v="0.7"/>
    <n v="892.8"/>
    <n v="694.4"/>
    <n v="198.4"/>
    <n v="992"/>
    <n v="49.6"/>
    <n v="5.5555555555555559E-2"/>
    <x v="2"/>
  </r>
  <r>
    <d v="2024-08-18T00:00:00"/>
    <x v="8"/>
    <x v="2"/>
    <x v="2"/>
    <n v="691"/>
    <n v="1.2"/>
    <n v="1"/>
    <n v="829.19999999999902"/>
    <n v="691"/>
    <n v="138.19999999999899"/>
    <n v="691"/>
    <n v="34.550000000000004"/>
    <n v="4.166666666666672E-2"/>
    <x v="7"/>
  </r>
  <r>
    <d v="2024-03-26T00:00:00"/>
    <x v="2"/>
    <x v="3"/>
    <x v="0"/>
    <n v="998"/>
    <n v="1.25"/>
    <n v="1.05"/>
    <n v="1247.5"/>
    <n v="1047.9000000000001"/>
    <n v="199.599999999999"/>
    <n v="998"/>
    <n v="49.900000000000006"/>
    <n v="4.0000000000000008E-2"/>
    <x v="3"/>
  </r>
  <r>
    <d v="2024-05-05T00:00:00"/>
    <x v="4"/>
    <x v="1"/>
    <x v="2"/>
    <n v="5417"/>
    <n v="1.2"/>
    <n v="1"/>
    <n v="6500.4"/>
    <n v="5417"/>
    <n v="1083.3999999999901"/>
    <n v="5417"/>
    <n v="270.85000000000002"/>
    <n v="4.1666666666666671E-2"/>
    <x v="6"/>
  </r>
  <r>
    <d v="2024-10-26T00:00:00"/>
    <x v="6"/>
    <x v="2"/>
    <x v="2"/>
    <n v="1756"/>
    <n v="1.2"/>
    <n v="1"/>
    <n v="2107.1999999999998"/>
    <n v="1756"/>
    <n v="351.19999999999902"/>
    <n v="1756"/>
    <n v="87.800000000000011"/>
    <n v="4.1666666666666678E-2"/>
    <x v="9"/>
  </r>
  <r>
    <d v="2024-01-25T00:00:00"/>
    <x v="4"/>
    <x v="1"/>
    <x v="0"/>
    <n v="2468"/>
    <n v="1.25"/>
    <n v="1.05"/>
    <n v="3085"/>
    <n v="2591.4"/>
    <n v="493.599999999999"/>
    <n v="2468"/>
    <n v="123.4"/>
    <n v="0.04"/>
    <x v="5"/>
  </r>
  <r>
    <d v="2024-05-24T00:00:00"/>
    <x v="14"/>
    <x v="1"/>
    <x v="2"/>
    <n v="4822"/>
    <n v="1.2"/>
    <n v="1"/>
    <n v="5786.4"/>
    <n v="4822"/>
    <n v="964.39999999999895"/>
    <n v="4822"/>
    <n v="241.10000000000002"/>
    <n v="4.1666666666666671E-2"/>
    <x v="6"/>
  </r>
  <r>
    <d v="2024-01-13T00:00:00"/>
    <x v="11"/>
    <x v="3"/>
    <x v="2"/>
    <n v="5990"/>
    <n v="1.2"/>
    <n v="1"/>
    <n v="7188"/>
    <n v="5990"/>
    <n v="1198"/>
    <n v="5990"/>
    <n v="299.5"/>
    <n v="4.1666666666666664E-2"/>
    <x v="5"/>
  </r>
  <r>
    <d v="2024-07-30T00:00:00"/>
    <x v="9"/>
    <x v="2"/>
    <x v="0"/>
    <n v="2686"/>
    <n v="1.25"/>
    <n v="1.05"/>
    <n v="3357.5"/>
    <n v="2820.3"/>
    <n v="537.19999999999902"/>
    <n v="2686"/>
    <n v="134.30000000000001"/>
    <n v="0.04"/>
    <x v="4"/>
  </r>
  <r>
    <d v="2024-01-25T00:00:00"/>
    <x v="13"/>
    <x v="0"/>
    <x v="2"/>
    <n v="1316"/>
    <n v="1.2"/>
    <n v="1"/>
    <n v="1579.2"/>
    <n v="1316"/>
    <n v="263.2"/>
    <n v="1316"/>
    <n v="65.8"/>
    <n v="4.1666666666666664E-2"/>
    <x v="5"/>
  </r>
  <r>
    <d v="2024-03-08T00:00:00"/>
    <x v="7"/>
    <x v="3"/>
    <x v="2"/>
    <n v="3720"/>
    <n v="1.2"/>
    <n v="1"/>
    <n v="4464"/>
    <n v="3720"/>
    <n v="744"/>
    <n v="3720"/>
    <n v="186"/>
    <n v="4.1666666666666664E-2"/>
    <x v="3"/>
  </r>
  <r>
    <d v="2024-03-07T00:00:00"/>
    <x v="0"/>
    <x v="3"/>
    <x v="1"/>
    <n v="1973"/>
    <n v="0.9"/>
    <n v="0.7"/>
    <n v="1775.7"/>
    <n v="1381.1"/>
    <n v="394.6"/>
    <n v="1973"/>
    <n v="98.65"/>
    <n v="5.5555555555555559E-2"/>
    <x v="3"/>
  </r>
  <r>
    <d v="2024-08-20T00:00:00"/>
    <x v="12"/>
    <x v="2"/>
    <x v="0"/>
    <n v="1586"/>
    <n v="1.25"/>
    <n v="1.05"/>
    <n v="1982.5"/>
    <n v="1665.3"/>
    <n v="317.19999999999902"/>
    <n v="1586"/>
    <n v="79.300000000000011"/>
    <n v="4.0000000000000008E-2"/>
    <x v="7"/>
  </r>
  <r>
    <d v="2024-04-18T00:00:00"/>
    <x v="12"/>
    <x v="2"/>
    <x v="0"/>
    <n v="4699"/>
    <n v="1.25"/>
    <n v="1.05"/>
    <n v="5873.75"/>
    <n v="4933.95"/>
    <n v="939.8"/>
    <n v="4699"/>
    <n v="234.95000000000002"/>
    <n v="0.04"/>
    <x v="0"/>
  </r>
  <r>
    <d v="2024-05-25T00:00:00"/>
    <x v="0"/>
    <x v="1"/>
    <x v="2"/>
    <n v="2374"/>
    <n v="1.2"/>
    <n v="1"/>
    <n v="2848.7999999999902"/>
    <n v="2374"/>
    <n v="474.79999999999899"/>
    <n v="2374"/>
    <n v="118.7"/>
    <n v="4.166666666666681E-2"/>
    <x v="6"/>
  </r>
  <r>
    <d v="2024-04-20T00:00:00"/>
    <x v="14"/>
    <x v="2"/>
    <x v="0"/>
    <n v="1370"/>
    <n v="1.25"/>
    <n v="1.05"/>
    <n v="1712.5"/>
    <n v="1438.5"/>
    <n v="274"/>
    <n v="1370"/>
    <n v="68.5"/>
    <n v="0.04"/>
    <x v="0"/>
  </r>
  <r>
    <d v="2024-08-15T00:00:00"/>
    <x v="10"/>
    <x v="1"/>
    <x v="2"/>
    <n v="5263"/>
    <n v="1.2"/>
    <n v="1"/>
    <n v="6315.5999999999904"/>
    <n v="5263"/>
    <n v="1052.5999999999899"/>
    <n v="5263"/>
    <n v="263.15000000000003"/>
    <n v="4.1666666666666734E-2"/>
    <x v="7"/>
  </r>
  <r>
    <d v="2024-04-20T00:00:00"/>
    <x v="2"/>
    <x v="3"/>
    <x v="2"/>
    <n v="2542"/>
    <n v="1.2"/>
    <n v="1"/>
    <n v="3050.4"/>
    <n v="2542"/>
    <n v="508.4"/>
    <n v="2542"/>
    <n v="127.10000000000001"/>
    <n v="4.1666666666666671E-2"/>
    <x v="0"/>
  </r>
  <r>
    <d v="2024-02-03T00:00:00"/>
    <x v="6"/>
    <x v="4"/>
    <x v="0"/>
    <n v="772"/>
    <n v="1.25"/>
    <n v="1.05"/>
    <n v="965"/>
    <n v="810.6"/>
    <n v="154.39999999999901"/>
    <n v="772"/>
    <n v="38.6"/>
    <n v="0.04"/>
    <x v="11"/>
  </r>
  <r>
    <d v="2024-04-20T00:00:00"/>
    <x v="1"/>
    <x v="0"/>
    <x v="2"/>
    <n v="1529"/>
    <n v="1.2"/>
    <n v="1"/>
    <n v="1834.8"/>
    <n v="1529"/>
    <n v="305.79999999999899"/>
    <n v="1529"/>
    <n v="76.45"/>
    <n v="4.1666666666666671E-2"/>
    <x v="0"/>
  </r>
  <r>
    <d v="2024-09-20T00:00:00"/>
    <x v="1"/>
    <x v="3"/>
    <x v="2"/>
    <n v="3718"/>
    <n v="1.2"/>
    <n v="1"/>
    <n v="4461.5999999999904"/>
    <n v="3718"/>
    <n v="743.599999999999"/>
    <n v="3718"/>
    <n v="185.9"/>
    <n v="4.1666666666666755E-2"/>
    <x v="2"/>
  </r>
  <r>
    <d v="2024-08-23T00:00:00"/>
    <x v="1"/>
    <x v="2"/>
    <x v="0"/>
    <n v="4569"/>
    <n v="1.25"/>
    <n v="1.05"/>
    <n v="5711.25"/>
    <n v="4797.45"/>
    <n v="913.8"/>
    <n v="4569"/>
    <n v="228.45000000000002"/>
    <n v="0.04"/>
    <x v="7"/>
  </r>
  <r>
    <d v="2024-03-23T00:00:00"/>
    <x v="7"/>
    <x v="0"/>
    <x v="1"/>
    <n v="1551"/>
    <n v="0.9"/>
    <n v="0.7"/>
    <n v="1395.9"/>
    <n v="1085.69999999999"/>
    <n v="310.2"/>
    <n v="1551"/>
    <n v="77.550000000000011"/>
    <n v="5.5555555555555559E-2"/>
    <x v="3"/>
  </r>
  <r>
    <d v="2024-02-11T00:00:00"/>
    <x v="1"/>
    <x v="4"/>
    <x v="2"/>
    <n v="4533"/>
    <n v="1.2"/>
    <n v="1"/>
    <n v="5439.5999999999904"/>
    <n v="4533"/>
    <n v="906.599999999999"/>
    <n v="4533"/>
    <n v="226.65"/>
    <n v="4.1666666666666741E-2"/>
    <x v="11"/>
  </r>
  <r>
    <d v="2024-04-10T00:00:00"/>
    <x v="3"/>
    <x v="4"/>
    <x v="2"/>
    <n v="2073"/>
    <n v="1.2"/>
    <n v="1"/>
    <n v="2487.6"/>
    <n v="2073"/>
    <n v="414.599999999999"/>
    <n v="2073"/>
    <n v="103.65"/>
    <n v="4.1666666666666671E-2"/>
    <x v="0"/>
  </r>
  <r>
    <d v="2024-01-06T00:00:00"/>
    <x v="5"/>
    <x v="1"/>
    <x v="2"/>
    <n v="3690"/>
    <n v="1.2"/>
    <n v="1"/>
    <n v="4428"/>
    <n v="3690"/>
    <n v="738"/>
    <n v="3690"/>
    <n v="184.5"/>
    <n v="4.1666666666666664E-2"/>
    <x v="5"/>
  </r>
  <r>
    <d v="2024-06-28T00:00:00"/>
    <x v="12"/>
    <x v="0"/>
    <x v="0"/>
    <n v="4888"/>
    <n v="1.25"/>
    <n v="1.05"/>
    <n v="6110"/>
    <n v="5132.3999999999996"/>
    <n v="977.599999999999"/>
    <n v="4888"/>
    <n v="244.4"/>
    <n v="0.04"/>
    <x v="10"/>
  </r>
  <r>
    <d v="2024-10-08T00:00:00"/>
    <x v="6"/>
    <x v="1"/>
    <x v="1"/>
    <n v="4297"/>
    <n v="0.9"/>
    <n v="0.7"/>
    <n v="3867.3"/>
    <n v="3007.8999999999901"/>
    <n v="859.4"/>
    <n v="4297"/>
    <n v="214.85000000000002"/>
    <n v="5.5555555555555559E-2"/>
    <x v="9"/>
  </r>
  <r>
    <d v="2024-11-15T00:00:00"/>
    <x v="5"/>
    <x v="3"/>
    <x v="2"/>
    <n v="3789"/>
    <n v="1.2"/>
    <n v="1"/>
    <n v="4546.8"/>
    <n v="3789"/>
    <n v="757.8"/>
    <n v="3789"/>
    <n v="189.45000000000002"/>
    <n v="4.1666666666666671E-2"/>
    <x v="8"/>
  </r>
  <r>
    <d v="2024-08-13T00:00:00"/>
    <x v="9"/>
    <x v="0"/>
    <x v="2"/>
    <n v="4247"/>
    <n v="1.2"/>
    <n v="1"/>
    <n v="5096.3999999999996"/>
    <n v="4247"/>
    <n v="849.39999999999895"/>
    <n v="4247"/>
    <n v="212.35000000000002"/>
    <n v="4.1666666666666671E-2"/>
    <x v="7"/>
  </r>
  <r>
    <d v="2024-11-10T00:00:00"/>
    <x v="6"/>
    <x v="3"/>
    <x v="1"/>
    <n v="2605"/>
    <n v="0.9"/>
    <n v="0.7"/>
    <n v="2344.5"/>
    <n v="1823.49999999999"/>
    <n v="521"/>
    <n v="2605"/>
    <n v="130.25"/>
    <n v="5.5555555555555552E-2"/>
    <x v="8"/>
  </r>
  <r>
    <d v="2024-12-30T00:00:00"/>
    <x v="5"/>
    <x v="1"/>
    <x v="0"/>
    <n v="5888"/>
    <n v="1.25"/>
    <n v="1.05"/>
    <n v="7360"/>
    <n v="6182.4"/>
    <n v="1177.5999999999899"/>
    <n v="5888"/>
    <n v="294.40000000000003"/>
    <n v="4.0000000000000008E-2"/>
    <x v="1"/>
  </r>
  <r>
    <d v="2024-08-16T00:00:00"/>
    <x v="6"/>
    <x v="0"/>
    <x v="2"/>
    <n v="807"/>
    <n v="1.2"/>
    <n v="1"/>
    <n v="968.4"/>
    <n v="807"/>
    <n v="161.39999999999901"/>
    <n v="807"/>
    <n v="40.35"/>
    <n v="4.1666666666666671E-2"/>
    <x v="7"/>
  </r>
  <r>
    <d v="2024-10-15T00:00:00"/>
    <x v="9"/>
    <x v="1"/>
    <x v="0"/>
    <n v="3859"/>
    <n v="1.25"/>
    <n v="1.05"/>
    <n v="4823.75"/>
    <n v="4051.95"/>
    <n v="771.79999999999905"/>
    <n v="3859"/>
    <n v="192.95000000000002"/>
    <n v="0.04"/>
    <x v="9"/>
  </r>
  <r>
    <d v="2024-05-29T00:00:00"/>
    <x v="8"/>
    <x v="0"/>
    <x v="0"/>
    <n v="5572"/>
    <n v="1.25"/>
    <n v="1.05"/>
    <n v="6965"/>
    <n v="5850.6"/>
    <n v="1114.3999999999901"/>
    <n v="5572"/>
    <n v="278.60000000000002"/>
    <n v="0.04"/>
    <x v="6"/>
  </r>
  <r>
    <d v="2024-10-03T00:00:00"/>
    <x v="3"/>
    <x v="1"/>
    <x v="0"/>
    <n v="3676"/>
    <n v="1.25"/>
    <n v="1.05"/>
    <n v="4595"/>
    <n v="3859.8"/>
    <n v="735.19999999999902"/>
    <n v="3676"/>
    <n v="183.8"/>
    <n v="0.04"/>
    <x v="9"/>
  </r>
  <r>
    <d v="2024-07-16T00:00:00"/>
    <x v="7"/>
    <x v="4"/>
    <x v="1"/>
    <n v="1751"/>
    <n v="0.9"/>
    <n v="0.7"/>
    <n v="1575.9"/>
    <n v="1225.69999999999"/>
    <n v="350.2"/>
    <n v="1751"/>
    <n v="87.550000000000011"/>
    <n v="5.5555555555555559E-2"/>
    <x v="4"/>
  </r>
  <r>
    <d v="2024-03-10T00:00:00"/>
    <x v="7"/>
    <x v="1"/>
    <x v="1"/>
    <n v="5866"/>
    <n v="0.9"/>
    <n v="0.7"/>
    <n v="5279.4"/>
    <n v="4106.2"/>
    <n v="1173.2"/>
    <n v="5866"/>
    <n v="293.3"/>
    <n v="5.5555555555555559E-2"/>
    <x v="3"/>
  </r>
  <r>
    <d v="2024-04-21T00:00:00"/>
    <x v="14"/>
    <x v="4"/>
    <x v="2"/>
    <n v="3247"/>
    <n v="1.2"/>
    <n v="1"/>
    <n v="3896.3999999999901"/>
    <n v="3247"/>
    <n v="649.39999999999895"/>
    <n v="3247"/>
    <n v="162.35000000000002"/>
    <n v="4.1666666666666775E-2"/>
    <x v="0"/>
  </r>
  <r>
    <d v="2024-01-04T00:00:00"/>
    <x v="0"/>
    <x v="1"/>
    <x v="2"/>
    <n v="2017"/>
    <n v="1.2"/>
    <n v="1"/>
    <n v="2420.4"/>
    <n v="2017"/>
    <n v="403.4"/>
    <n v="2017"/>
    <n v="100.85000000000001"/>
    <n v="4.1666666666666671E-2"/>
    <x v="5"/>
  </r>
  <r>
    <d v="2024-12-15T00:00:00"/>
    <x v="2"/>
    <x v="0"/>
    <x v="2"/>
    <n v="5805"/>
    <n v="1.2"/>
    <n v="1"/>
    <n v="6966"/>
    <n v="5805"/>
    <n v="1161"/>
    <n v="5805"/>
    <n v="290.25"/>
    <n v="4.1666666666666664E-2"/>
    <x v="1"/>
  </r>
  <r>
    <d v="2024-11-26T00:00:00"/>
    <x v="12"/>
    <x v="0"/>
    <x v="1"/>
    <n v="1878"/>
    <n v="0.9"/>
    <n v="0.7"/>
    <n v="1690.2"/>
    <n v="1314.6"/>
    <n v="375.6"/>
    <n v="1878"/>
    <n v="93.9"/>
    <n v="5.5555555555555559E-2"/>
    <x v="8"/>
  </r>
  <r>
    <d v="2024-11-13T00:00:00"/>
    <x v="1"/>
    <x v="0"/>
    <x v="0"/>
    <n v="5391"/>
    <n v="1.25"/>
    <n v="1.05"/>
    <n v="6738.75"/>
    <n v="5660.55"/>
    <n v="1078.19999999999"/>
    <n v="5391"/>
    <n v="269.55"/>
    <n v="0.04"/>
    <x v="8"/>
  </r>
  <r>
    <d v="2024-12-15T00:00:00"/>
    <x v="3"/>
    <x v="2"/>
    <x v="0"/>
    <n v="5492"/>
    <n v="1.25"/>
    <n v="1.05"/>
    <n v="6865"/>
    <n v="5766.6"/>
    <n v="1098.3999999999901"/>
    <n v="5492"/>
    <n v="274.60000000000002"/>
    <n v="0.04"/>
    <x v="1"/>
  </r>
  <r>
    <d v="2024-04-04T00:00:00"/>
    <x v="4"/>
    <x v="3"/>
    <x v="0"/>
    <n v="2461"/>
    <n v="1.25"/>
    <n v="1.05"/>
    <n v="3076.25"/>
    <n v="2584.0500000000002"/>
    <n v="492.19999999999902"/>
    <n v="2461"/>
    <n v="123.05000000000001"/>
    <n v="0.04"/>
    <x v="0"/>
  </r>
  <r>
    <d v="2024-05-31T00:00:00"/>
    <x v="1"/>
    <x v="0"/>
    <x v="2"/>
    <n v="4805"/>
    <n v="1.2"/>
    <n v="1"/>
    <n v="5766"/>
    <n v="4805"/>
    <n v="961"/>
    <n v="4805"/>
    <n v="240.25"/>
    <n v="4.1666666666666664E-2"/>
    <x v="6"/>
  </r>
  <r>
    <d v="2024-11-06T00:00:00"/>
    <x v="2"/>
    <x v="4"/>
    <x v="2"/>
    <n v="3363"/>
    <n v="1.2"/>
    <n v="1"/>
    <n v="4035.6"/>
    <n v="3363"/>
    <n v="672.599999999999"/>
    <n v="3363"/>
    <n v="168.15"/>
    <n v="4.1666666666666671E-2"/>
    <x v="8"/>
  </r>
  <r>
    <d v="2024-05-16T00:00:00"/>
    <x v="12"/>
    <x v="0"/>
    <x v="0"/>
    <n v="3156"/>
    <n v="1.25"/>
    <n v="1.05"/>
    <n v="3945"/>
    <n v="3313.8"/>
    <n v="631.19999999999902"/>
    <n v="3156"/>
    <n v="157.80000000000001"/>
    <n v="0.04"/>
    <x v="6"/>
  </r>
  <r>
    <d v="2024-09-03T00:00:00"/>
    <x v="11"/>
    <x v="2"/>
    <x v="0"/>
    <n v="2994"/>
    <n v="1.25"/>
    <n v="1.05"/>
    <n v="3742.5"/>
    <n v="3143.7"/>
    <n v="598.79999999999905"/>
    <n v="2994"/>
    <n v="149.70000000000002"/>
    <n v="4.0000000000000008E-2"/>
    <x v="2"/>
  </r>
  <r>
    <d v="2024-08-30T00:00:00"/>
    <x v="2"/>
    <x v="4"/>
    <x v="2"/>
    <n v="5563"/>
    <n v="1.2"/>
    <n v="1"/>
    <n v="6675.5999999999904"/>
    <n v="5563"/>
    <n v="1112.5999999999899"/>
    <n v="5563"/>
    <n v="278.15000000000003"/>
    <n v="4.1666666666666734E-2"/>
    <x v="7"/>
  </r>
  <r>
    <d v="2024-01-31T00:00:00"/>
    <x v="3"/>
    <x v="2"/>
    <x v="0"/>
    <n v="5067"/>
    <n v="1.25"/>
    <n v="1.05"/>
    <n v="6333.75"/>
    <n v="5320.35"/>
    <n v="1013.39999999999"/>
    <n v="5067"/>
    <n v="253.35000000000002"/>
    <n v="0.04"/>
    <x v="5"/>
  </r>
  <r>
    <d v="2024-02-09T00:00:00"/>
    <x v="5"/>
    <x v="4"/>
    <x v="2"/>
    <n v="4505"/>
    <n v="1.2"/>
    <n v="1"/>
    <n v="5406"/>
    <n v="4505"/>
    <n v="901"/>
    <n v="4505"/>
    <n v="225.25"/>
    <n v="4.1666666666666664E-2"/>
    <x v="11"/>
  </r>
  <r>
    <d v="2024-08-16T00:00:00"/>
    <x v="6"/>
    <x v="1"/>
    <x v="1"/>
    <n v="4063"/>
    <n v="0.9"/>
    <n v="0.7"/>
    <n v="3656.7"/>
    <n v="2844.1"/>
    <n v="812.6"/>
    <n v="4063"/>
    <n v="203.15"/>
    <n v="5.5555555555555559E-2"/>
    <x v="7"/>
  </r>
  <r>
    <d v="2024-02-05T00:00:00"/>
    <x v="0"/>
    <x v="3"/>
    <x v="0"/>
    <n v="1422"/>
    <n v="1.25"/>
    <n v="1.05"/>
    <n v="1777.5"/>
    <n v="1493.1"/>
    <n v="284.39999999999901"/>
    <n v="1422"/>
    <n v="71.100000000000009"/>
    <n v="4.0000000000000008E-2"/>
    <x v="11"/>
  </r>
  <r>
    <d v="2024-08-10T00:00:00"/>
    <x v="0"/>
    <x v="3"/>
    <x v="0"/>
    <n v="4732"/>
    <n v="1.25"/>
    <n v="1.05"/>
    <n v="5915"/>
    <n v="4968.6000000000004"/>
    <n v="946.39999999999895"/>
    <n v="4732"/>
    <n v="236.60000000000002"/>
    <n v="0.04"/>
    <x v="7"/>
  </r>
  <r>
    <d v="2024-01-06T00:00:00"/>
    <x v="4"/>
    <x v="2"/>
    <x v="2"/>
    <n v="4962"/>
    <n v="1.2"/>
    <n v="1"/>
    <n v="5954.4"/>
    <n v="4962"/>
    <n v="992.39999999999895"/>
    <n v="4962"/>
    <n v="248.10000000000002"/>
    <n v="4.1666666666666671E-2"/>
    <x v="5"/>
  </r>
  <r>
    <d v="2024-11-17T00:00:00"/>
    <x v="3"/>
    <x v="3"/>
    <x v="2"/>
    <n v="3459"/>
    <n v="1.2"/>
    <n v="1"/>
    <n v="4150.8"/>
    <n v="3459"/>
    <n v="691.8"/>
    <n v="3459"/>
    <n v="172.95000000000002"/>
    <n v="4.1666666666666671E-2"/>
    <x v="8"/>
  </r>
  <r>
    <d v="2024-08-07T00:00:00"/>
    <x v="9"/>
    <x v="2"/>
    <x v="2"/>
    <n v="683"/>
    <n v="1.2"/>
    <n v="1"/>
    <n v="819.6"/>
    <n v="683"/>
    <n v="136.6"/>
    <n v="683"/>
    <n v="34.15"/>
    <n v="4.1666666666666664E-2"/>
    <x v="7"/>
  </r>
  <r>
    <d v="2024-03-15T00:00:00"/>
    <x v="11"/>
    <x v="2"/>
    <x v="1"/>
    <n v="3858"/>
    <n v="0.9"/>
    <n v="0.7"/>
    <n v="3472.2"/>
    <n v="2700.6"/>
    <n v="771.6"/>
    <n v="3858"/>
    <n v="192.9"/>
    <n v="5.5555555555555559E-2"/>
    <x v="3"/>
  </r>
  <r>
    <d v="2024-01-04T00:00:00"/>
    <x v="9"/>
    <x v="2"/>
    <x v="0"/>
    <n v="1898"/>
    <n v="1.25"/>
    <n v="1.05"/>
    <n v="2372.5"/>
    <n v="1992.9"/>
    <n v="379.599999999999"/>
    <n v="1898"/>
    <n v="94.9"/>
    <n v="0.04"/>
    <x v="5"/>
  </r>
  <r>
    <d v="2024-11-30T00:00:00"/>
    <x v="7"/>
    <x v="3"/>
    <x v="2"/>
    <n v="3296"/>
    <n v="1.2"/>
    <n v="1"/>
    <n v="3955.2"/>
    <n v="3296"/>
    <n v="659.19999999999902"/>
    <n v="3296"/>
    <n v="164.8"/>
    <n v="4.1666666666666671E-2"/>
    <x v="8"/>
  </r>
  <r>
    <d v="2024-05-13T00:00:00"/>
    <x v="14"/>
    <x v="2"/>
    <x v="2"/>
    <n v="1036"/>
    <n v="1.2"/>
    <n v="1"/>
    <n v="1243.2"/>
    <n v="1036"/>
    <n v="207.2"/>
    <n v="1036"/>
    <n v="51.800000000000004"/>
    <n v="4.1666666666666671E-2"/>
    <x v="6"/>
  </r>
  <r>
    <d v="2024-04-27T00:00:00"/>
    <x v="7"/>
    <x v="3"/>
    <x v="1"/>
    <n v="1773"/>
    <n v="0.9"/>
    <n v="0.7"/>
    <n v="1595.7"/>
    <n v="1241.0999999999999"/>
    <n v="354.6"/>
    <n v="1773"/>
    <n v="88.65"/>
    <n v="5.5555555555555559E-2"/>
    <x v="0"/>
  </r>
  <r>
    <d v="2024-04-03T00:00:00"/>
    <x v="2"/>
    <x v="2"/>
    <x v="0"/>
    <n v="3467"/>
    <n v="1.25"/>
    <n v="1.05"/>
    <n v="4333.75"/>
    <n v="3640.35"/>
    <n v="693.39999999999895"/>
    <n v="3467"/>
    <n v="173.35000000000002"/>
    <n v="4.0000000000000008E-2"/>
    <x v="0"/>
  </r>
  <r>
    <d v="2024-03-02T00:00:00"/>
    <x v="1"/>
    <x v="0"/>
    <x v="2"/>
    <n v="3549"/>
    <n v="1.2"/>
    <n v="1"/>
    <n v="4258.8"/>
    <n v="3549"/>
    <n v="709.8"/>
    <n v="3549"/>
    <n v="177.45000000000002"/>
    <n v="4.1666666666666671E-2"/>
    <x v="3"/>
  </r>
  <r>
    <d v="2024-07-12T00:00:00"/>
    <x v="5"/>
    <x v="2"/>
    <x v="2"/>
    <n v="1596"/>
    <n v="1.2"/>
    <n v="1"/>
    <n v="1915.19999999999"/>
    <n v="1596"/>
    <n v="319.19999999999902"/>
    <n v="1596"/>
    <n v="79.800000000000011"/>
    <n v="4.1666666666666886E-2"/>
    <x v="4"/>
  </r>
  <r>
    <d v="2024-11-30T00:00:00"/>
    <x v="4"/>
    <x v="4"/>
    <x v="0"/>
    <n v="1805"/>
    <n v="1.25"/>
    <n v="1.05"/>
    <n v="2256.25"/>
    <n v="1895.25"/>
    <n v="361"/>
    <n v="1805"/>
    <n v="90.25"/>
    <n v="0.04"/>
    <x v="8"/>
  </r>
  <r>
    <d v="2024-07-21T00:00:00"/>
    <x v="2"/>
    <x v="2"/>
    <x v="0"/>
    <n v="1415"/>
    <n v="1.25"/>
    <n v="1.05"/>
    <n v="1768.75"/>
    <n v="1485.75"/>
    <n v="283"/>
    <n v="1415"/>
    <n v="70.75"/>
    <n v="0.04"/>
    <x v="4"/>
  </r>
  <r>
    <d v="2024-01-26T00:00:00"/>
    <x v="13"/>
    <x v="1"/>
    <x v="1"/>
    <n v="3581"/>
    <n v="0.9"/>
    <n v="0.7"/>
    <n v="3222.9"/>
    <n v="2506.6999999999998"/>
    <n v="716.2"/>
    <n v="3581"/>
    <n v="179.05"/>
    <n v="5.5555555555555559E-2"/>
    <x v="5"/>
  </r>
  <r>
    <d v="2024-06-21T00:00:00"/>
    <x v="11"/>
    <x v="2"/>
    <x v="0"/>
    <n v="4747"/>
    <n v="1.25"/>
    <n v="1.05"/>
    <n v="5933.75"/>
    <n v="4984.3500000000004"/>
    <n v="949.39999999999895"/>
    <n v="4747"/>
    <n v="237.35000000000002"/>
    <n v="0.04"/>
    <x v="10"/>
  </r>
  <r>
    <d v="2024-10-26T00:00:00"/>
    <x v="0"/>
    <x v="4"/>
    <x v="0"/>
    <n v="1528"/>
    <n v="1.25"/>
    <n v="1.05"/>
    <n v="1910"/>
    <n v="1604.4"/>
    <n v="305.599999999999"/>
    <n v="1528"/>
    <n v="76.400000000000006"/>
    <n v="0.04"/>
    <x v="9"/>
  </r>
  <r>
    <d v="2024-05-12T00:00:00"/>
    <x v="11"/>
    <x v="4"/>
    <x v="0"/>
    <n v="5814"/>
    <n v="1.25"/>
    <n v="1.05"/>
    <n v="7267.5"/>
    <n v="6104.7"/>
    <n v="1162.8"/>
    <n v="5814"/>
    <n v="290.7"/>
    <n v="0.04"/>
    <x v="6"/>
  </r>
  <r>
    <d v="2024-11-21T00:00:00"/>
    <x v="2"/>
    <x v="3"/>
    <x v="1"/>
    <n v="2477"/>
    <n v="0.9"/>
    <n v="0.7"/>
    <n v="2229.3000000000002"/>
    <n v="1733.8999999999901"/>
    <n v="495.4"/>
    <n v="2477"/>
    <n v="123.85000000000001"/>
    <n v="5.5555555555555552E-2"/>
    <x v="8"/>
  </r>
  <r>
    <d v="2024-04-27T00:00:00"/>
    <x v="2"/>
    <x v="0"/>
    <x v="2"/>
    <n v="3854"/>
    <n v="1.2"/>
    <n v="1"/>
    <n v="4624.8"/>
    <n v="3854"/>
    <n v="770.8"/>
    <n v="3854"/>
    <n v="192.70000000000002"/>
    <n v="4.1666666666666671E-2"/>
    <x v="0"/>
  </r>
  <r>
    <d v="2024-11-19T00:00:00"/>
    <x v="3"/>
    <x v="2"/>
    <x v="2"/>
    <n v="3011"/>
    <n v="1.2"/>
    <n v="1"/>
    <n v="3613.2"/>
    <n v="3011"/>
    <n v="602.19999999999902"/>
    <n v="3011"/>
    <n v="150.55000000000001"/>
    <n v="4.1666666666666671E-2"/>
    <x v="8"/>
  </r>
  <r>
    <d v="2024-10-01T00:00:00"/>
    <x v="1"/>
    <x v="3"/>
    <x v="0"/>
    <n v="770"/>
    <n v="1.25"/>
    <n v="1.05"/>
    <n v="962.5"/>
    <n v="808.5"/>
    <n v="154"/>
    <n v="770"/>
    <n v="38.5"/>
    <n v="0.04"/>
    <x v="9"/>
  </r>
  <r>
    <d v="2024-07-30T00:00:00"/>
    <x v="7"/>
    <x v="0"/>
    <x v="2"/>
    <n v="1686"/>
    <n v="1.2"/>
    <n v="1"/>
    <n v="2023.19999999999"/>
    <n v="1686"/>
    <n v="337.19999999999902"/>
    <n v="1686"/>
    <n v="84.300000000000011"/>
    <n v="4.1666666666666879E-2"/>
    <x v="4"/>
  </r>
  <r>
    <d v="2024-08-12T00:00:00"/>
    <x v="0"/>
    <x v="2"/>
    <x v="2"/>
    <n v="5055"/>
    <n v="1.2"/>
    <n v="1"/>
    <n v="6066"/>
    <n v="5055"/>
    <n v="1011"/>
    <n v="5055"/>
    <n v="252.75"/>
    <n v="4.1666666666666664E-2"/>
    <x v="7"/>
  </r>
  <r>
    <d v="2024-01-20T00:00:00"/>
    <x v="14"/>
    <x v="1"/>
    <x v="2"/>
    <n v="4700"/>
    <n v="1.2"/>
    <n v="1"/>
    <n v="5640"/>
    <n v="4700"/>
    <n v="940"/>
    <n v="4700"/>
    <n v="235"/>
    <n v="4.1666666666666664E-2"/>
    <x v="5"/>
  </r>
  <r>
    <d v="2024-04-22T00:00:00"/>
    <x v="1"/>
    <x v="2"/>
    <x v="1"/>
    <n v="4264"/>
    <n v="0.9"/>
    <n v="0.7"/>
    <n v="3837.6"/>
    <n v="2984.7999999999902"/>
    <n v="852.8"/>
    <n v="4264"/>
    <n v="213.20000000000002"/>
    <n v="5.5555555555555559E-2"/>
    <x v="0"/>
  </r>
  <r>
    <d v="2024-05-19T00:00:00"/>
    <x v="6"/>
    <x v="4"/>
    <x v="0"/>
    <n v="2898"/>
    <n v="1.25"/>
    <n v="1.05"/>
    <n v="3622.5"/>
    <n v="3042.9"/>
    <n v="579.599999999999"/>
    <n v="2898"/>
    <n v="144.9"/>
    <n v="0.04"/>
    <x v="6"/>
  </r>
  <r>
    <d v="2024-02-16T00:00:00"/>
    <x v="3"/>
    <x v="4"/>
    <x v="2"/>
    <n v="5029"/>
    <n v="1.2"/>
    <n v="1"/>
    <n v="6034.8"/>
    <n v="5029"/>
    <n v="1005.8"/>
    <n v="5029"/>
    <n v="251.45000000000002"/>
    <n v="4.1666666666666671E-2"/>
    <x v="11"/>
  </r>
  <r>
    <d v="2024-01-01T00:00:00"/>
    <x v="3"/>
    <x v="1"/>
    <x v="0"/>
    <n v="4735"/>
    <n v="1.25"/>
    <n v="1.05"/>
    <n v="5918.75"/>
    <n v="4971.75"/>
    <n v="947"/>
    <n v="4735"/>
    <n v="236.75"/>
    <n v="0.04"/>
    <x v="5"/>
  </r>
  <r>
    <d v="2024-03-30T00:00:00"/>
    <x v="4"/>
    <x v="3"/>
    <x v="2"/>
    <n v="4682"/>
    <n v="1.2"/>
    <n v="1"/>
    <n v="5618.4"/>
    <n v="4682"/>
    <n v="936.39999999999895"/>
    <n v="4682"/>
    <n v="234.10000000000002"/>
    <n v="4.1666666666666671E-2"/>
    <x v="3"/>
  </r>
  <r>
    <d v="2024-05-21T00:00:00"/>
    <x v="5"/>
    <x v="0"/>
    <x v="0"/>
    <n v="2211"/>
    <n v="1.25"/>
    <n v="1.05"/>
    <n v="2763.75"/>
    <n v="2321.5500000000002"/>
    <n v="442.19999999999902"/>
    <n v="2211"/>
    <n v="110.55000000000001"/>
    <n v="0.04"/>
    <x v="6"/>
  </r>
  <r>
    <d v="2024-11-15T00:00:00"/>
    <x v="14"/>
    <x v="2"/>
    <x v="0"/>
    <n v="2730"/>
    <n v="1.25"/>
    <n v="1.05"/>
    <n v="3412.5"/>
    <n v="2866.5"/>
    <n v="546"/>
    <n v="2730"/>
    <n v="136.5"/>
    <n v="0.04"/>
    <x v="8"/>
  </r>
  <r>
    <d v="2024-02-07T00:00:00"/>
    <x v="12"/>
    <x v="4"/>
    <x v="0"/>
    <n v="628"/>
    <n v="1.25"/>
    <n v="1.05"/>
    <n v="785"/>
    <n v="659.4"/>
    <n v="125.6"/>
    <n v="628"/>
    <n v="31.400000000000002"/>
    <n v="0.04"/>
    <x v="11"/>
  </r>
  <r>
    <d v="2024-10-19T00:00:00"/>
    <x v="8"/>
    <x v="3"/>
    <x v="2"/>
    <n v="1769"/>
    <n v="1.2"/>
    <n v="1"/>
    <n v="2122.7999999999902"/>
    <n v="1769"/>
    <n v="353.79999999999899"/>
    <n v="1769"/>
    <n v="88.45"/>
    <n v="4.1666666666666859E-2"/>
    <x v="9"/>
  </r>
  <r>
    <d v="2024-05-18T00:00:00"/>
    <x v="12"/>
    <x v="1"/>
    <x v="0"/>
    <n v="4172"/>
    <n v="1.25"/>
    <n v="1.05"/>
    <n v="5215"/>
    <n v="4380.6000000000004"/>
    <n v="834.39999999999895"/>
    <n v="4172"/>
    <n v="208.60000000000002"/>
    <n v="4.0000000000000008E-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0A144-E872-E749-BBB8-3E275389872B}" name="PivotTable3"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15">
    <pivotField numFmtId="14" showAll="0"/>
    <pivotField showAll="0">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s>
  <rowItems count="1">
    <i/>
  </rowItems>
  <colFields count="1">
    <field x="-2"/>
  </colFields>
  <colItems count="3">
    <i>
      <x/>
    </i>
    <i i="1">
      <x v="1"/>
    </i>
    <i i="2">
      <x v="2"/>
    </i>
  </colItems>
  <dataFields count="3">
    <dataField name="Sum of Delivery volume" fld="10" baseField="0" baseItem="0"/>
    <dataField name="Sum of Delivery Cost" fld="11" baseField="0" baseItem="0" numFmtId="167"/>
    <dataField name="Average of Delivery Efficiency" fld="1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24580-83F3-3B46-A6F6-D39039EDFC1F}" name="PivotTable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S10" firstHeaderRow="1" firstDataRow="1" firstDataCol="1"/>
  <pivotFields count="15">
    <pivotField numFmtId="14" showAll="0"/>
    <pivotField axis="axisRow" showAll="0" measureFilter="1">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6">
    <i>
      <x/>
    </i>
    <i>
      <x v="1"/>
    </i>
    <i>
      <x v="2"/>
    </i>
    <i>
      <x v="4"/>
    </i>
    <i>
      <x v="7"/>
    </i>
    <i t="grand">
      <x/>
    </i>
  </rowItems>
  <colItems count="1">
    <i/>
  </colItems>
  <dataFields count="1">
    <dataField name="Sum of Delivery volume" fld="10" baseField="0" baseItem="0"/>
  </dataFields>
  <formats count="1">
    <format dxfId="3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D6150-FC7F-0B4B-B4B1-793B28F4D550}" name="PivotTable6"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O17" firstHeaderRow="1" firstDataRow="1" firstDataCol="1"/>
  <pivotFields count="15">
    <pivotField numFmtId="14" showAll="0"/>
    <pivotField showAll="0">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13">
        <item x="5"/>
        <item x="11"/>
        <item x="3"/>
        <item x="0"/>
        <item x="6"/>
        <item x="10"/>
        <item x="4"/>
        <item x="7"/>
        <item x="2"/>
        <item x="9"/>
        <item x="8"/>
        <item x="1"/>
        <item t="default"/>
      </items>
    </pivotField>
    <pivotField dragToRow="0" dragToCol="0" dragToPage="0" showAll="0" defaultSubtotal="0"/>
  </pivotFields>
  <rowFields count="1">
    <field x="13"/>
  </rowFields>
  <rowItems count="13">
    <i>
      <x/>
    </i>
    <i>
      <x v="1"/>
    </i>
    <i>
      <x v="2"/>
    </i>
    <i>
      <x v="3"/>
    </i>
    <i>
      <x v="4"/>
    </i>
    <i>
      <x v="5"/>
    </i>
    <i>
      <x v="6"/>
    </i>
    <i>
      <x v="7"/>
    </i>
    <i>
      <x v="8"/>
    </i>
    <i>
      <x v="9"/>
    </i>
    <i>
      <x v="10"/>
    </i>
    <i>
      <x v="11"/>
    </i>
    <i t="grand">
      <x/>
    </i>
  </rowItems>
  <colItems count="1">
    <i/>
  </colItems>
  <dataFields count="1">
    <dataField name="Sum of Delivery volume" fld="10" baseField="0" baseItem="0"/>
  </dataFields>
  <formats count="1">
    <format dxfId="3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B82890-3B5F-8548-B879-F2704F90978F}" name="PivotTable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J8" firstHeaderRow="1" firstDataRow="1" firstDataCol="1"/>
  <pivotFields count="15">
    <pivotField numFmtId="14" showAll="0"/>
    <pivotField showAll="0">
      <items count="16">
        <item x="5"/>
        <item x="9"/>
        <item x="3"/>
        <item x="12"/>
        <item x="2"/>
        <item x="14"/>
        <item x="0"/>
        <item x="7"/>
        <item x="4"/>
        <item x="1"/>
        <item x="10"/>
        <item x="6"/>
        <item x="11"/>
        <item x="8"/>
        <item x="13"/>
        <item t="default"/>
      </items>
    </pivotField>
    <pivotField showAll="0">
      <items count="6">
        <item x="4"/>
        <item x="0"/>
        <item x="2"/>
        <item x="3"/>
        <item x="1"/>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Delivery Cost" fld="11" baseField="0" baseItem="0"/>
  </dataFields>
  <formats count="1">
    <format dxfId="3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C456AB-D9E5-B349-AE30-6F0908296280}" name="PivotTable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F10" firstHeaderRow="1" firstDataRow="1" firstDataCol="1"/>
  <pivotFields count="15">
    <pivotField numFmtId="14" showAll="0"/>
    <pivotField showAll="0">
      <items count="16">
        <item x="5"/>
        <item x="9"/>
        <item x="3"/>
        <item x="12"/>
        <item x="2"/>
        <item x="14"/>
        <item x="0"/>
        <item x="7"/>
        <item x="4"/>
        <item x="1"/>
        <item x="10"/>
        <item x="6"/>
        <item x="11"/>
        <item x="8"/>
        <item x="13"/>
        <item t="default"/>
      </items>
    </pivotField>
    <pivotField axis="axisRow" showAll="0">
      <items count="6">
        <item x="4"/>
        <item x="0"/>
        <item x="2"/>
        <item x="3"/>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Sum of Delivery volume" fld="10" baseField="0" baseItem="0" numFmtId="164"/>
  </dataFields>
  <formats count="1">
    <format dxfId="3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2A7939-2A59-4D4C-ABFE-518C0525AB25}" name="PivotTable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7" firstHeaderRow="1" firstDataRow="1" firstDataCol="1"/>
  <pivotFields count="15">
    <pivotField numFmtId="14"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Revenue" fld="7" baseField="0" baseItem="0"/>
  </dataFields>
  <formats count="2">
    <format dxfId="27">
      <pivotArea collapsedLevelsAreSubtotals="1" fieldPosition="0">
        <references count="1">
          <reference field="3" count="0"/>
        </references>
      </pivotArea>
    </format>
    <format dxfId="26">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86E020-20D5-9D46-BFE9-C08D1626D609}" name="PivotTable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7" firstHeaderRow="1" firstDataRow="2" firstDataCol="1"/>
  <pivotFields count="15">
    <pivotField numFmtId="14" showAll="0"/>
    <pivotField showAll="0"/>
    <pivotField showAll="0"/>
    <pivotField axis="axisCol"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axis="axisRow" showAll="0">
      <items count="13">
        <item x="5"/>
        <item x="11"/>
        <item x="3"/>
        <item x="0"/>
        <item x="6"/>
        <item x="10"/>
        <item x="4"/>
        <item x="7"/>
        <item x="2"/>
        <item x="9"/>
        <item x="8"/>
        <item x="1"/>
        <item t="default"/>
      </items>
    </pivotField>
    <pivotField dragToRow="0" dragToCol="0" dragToPage="0" showAll="0" defaultSubtotal="0"/>
  </pivotFields>
  <rowFields count="1">
    <field x="13"/>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Revenue" fld="7" baseField="0" baseItem="0"/>
  </dataFields>
  <formats count="2">
    <format dxfId="29">
      <pivotArea collapsedLevelsAreSubtotals="1" fieldPosition="0">
        <references count="1">
          <reference field="13" count="0"/>
        </references>
      </pivotArea>
    </format>
    <format dxfId="28">
      <pivotArea grandRow="1"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FD460C-CCE6-5847-BAA8-EA86AD494F7C}" name="PivotTable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R3:S9" firstHeaderRow="1" firstDataRow="1" firstDataCol="1"/>
  <pivotFields count="15">
    <pivotField numFmtId="14" showAll="0"/>
    <pivotField axis="axisRow" showAll="0" measureFilter="1" sortType="descending">
      <items count="16">
        <item x="5"/>
        <item x="9"/>
        <item x="3"/>
        <item x="12"/>
        <item x="2"/>
        <item x="14"/>
        <item x="0"/>
        <item x="7"/>
        <item x="4"/>
        <item x="1"/>
        <item x="10"/>
        <item x="6"/>
        <item x="11"/>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1"/>
  </rowFields>
  <rowItems count="6">
    <i>
      <x/>
    </i>
    <i>
      <x v="2"/>
    </i>
    <i>
      <x v="4"/>
    </i>
    <i>
      <x v="1"/>
    </i>
    <i>
      <x v="7"/>
    </i>
    <i t="grand">
      <x/>
    </i>
  </rowItems>
  <colItems count="1">
    <i/>
  </colItems>
  <dataFields count="1">
    <dataField name="Sum of Revenue" fld="7" baseField="0" baseItem="0"/>
  </dataFields>
  <formats count="2">
    <format dxfId="31">
      <pivotArea collapsedLevelsAreSubtotals="1" fieldPosition="0">
        <references count="1">
          <reference field="1" count="5">
            <x v="0"/>
            <x v="1"/>
            <x v="2"/>
            <x v="4"/>
            <x v="7"/>
          </reference>
        </references>
      </pivotArea>
    </format>
    <format dxfId="30">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D6936D-DD80-9846-AAE6-FCF7A677A489}" name="PivotTable3"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P10" firstHeaderRow="1" firstDataRow="2" firstDataCol="1"/>
  <pivotFields count="15">
    <pivotField numFmtId="14" showAll="0"/>
    <pivotField showAll="0"/>
    <pivotField axis="axisRow" showAll="0">
      <items count="6">
        <item x="4"/>
        <item x="0"/>
        <item x="2"/>
        <item x="3"/>
        <item x="1"/>
        <item t="default"/>
      </items>
    </pivotField>
    <pivotField axis="axisCol"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3"/>
  </colFields>
  <colItems count="4">
    <i>
      <x/>
    </i>
    <i>
      <x v="1"/>
    </i>
    <i>
      <x v="2"/>
    </i>
    <i t="grand">
      <x/>
    </i>
  </colItems>
  <dataFields count="1">
    <dataField name="Sum of Revenue" fld="7" baseField="0" baseItem="0"/>
  </dataFields>
  <formats count="2">
    <format dxfId="33">
      <pivotArea collapsedLevelsAreSubtotals="1" fieldPosition="0">
        <references count="1">
          <reference field="2" count="0"/>
        </references>
      </pivotArea>
    </format>
    <format dxfId="32">
      <pivotArea grandRow="1"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F3B1B7-BC7E-9749-AD82-35AC69AB618C}" name="PivotTable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numFmtId="14"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 dataField="1" dragToRow="0" dragToCol="0" dragToPage="0" showAll="0" defaultSubtotal="0"/>
  </pivotFields>
  <rowItems count="1">
    <i/>
  </rowItems>
  <colFields count="1">
    <field x="-2"/>
  </colFields>
  <colItems count="4">
    <i>
      <x/>
    </i>
    <i i="1">
      <x v="1"/>
    </i>
    <i i="2">
      <x v="2"/>
    </i>
    <i i="3">
      <x v="3"/>
    </i>
  </colItems>
  <dataFields count="4">
    <dataField name="Sum of Revenue" fld="7" baseField="0" baseItem="0" numFmtId="43"/>
    <dataField name="Sum of Profit" fld="9" baseField="0" baseItem="0"/>
    <dataField name="Sum of Liters_Sold" fld="4" baseField="0" baseItem="0"/>
    <dataField name="Sum of Profit Margin" fld="14" baseField="0" baseItem="0" numFmtId="165"/>
  </dataFields>
  <formats count="2">
    <format dxfId="25">
      <pivotArea outline="0" collapsedLevelsAreSubtotals="1" fieldPosition="0">
        <references count="1">
          <reference field="4294967294" count="1" selected="0">
            <x v="3"/>
          </reference>
        </references>
      </pivotArea>
    </format>
    <format dxfId="2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 xr10:uid="{A9A01E6E-8B99-2745-8ED6-340AD84D025A}" sourceName="Station">
  <pivotTables>
    <pivotTable tabId="8" name="PivotTable3"/>
    <pivotTable tabId="8" name="PivotTable4"/>
    <pivotTable tabId="8" name="PivotTable5"/>
    <pivotTable tabId="8" name="PivotTable6"/>
  </pivotTables>
  <data>
    <tabular pivotCacheId="998637947">
      <items count="15">
        <i x="5" s="1"/>
        <i x="9" s="1"/>
        <i x="3" s="1"/>
        <i x="12" s="1"/>
        <i x="2" s="1"/>
        <i x="14" s="1"/>
        <i x="0" s="1"/>
        <i x="7" s="1"/>
        <i x="4" s="1"/>
        <i x="1" s="1"/>
        <i x="10" s="1"/>
        <i x="6" s="1"/>
        <i x="11" s="1"/>
        <i x="8"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0AE339-BDB6-E24E-BA8A-EAB778EF148D}" sourceName="Region">
  <pivotTables>
    <pivotTable tabId="8" name="PivotTable3"/>
    <pivotTable tabId="8" name="PivotTable4"/>
    <pivotTable tabId="8" name="PivotTable5"/>
    <pivotTable tabId="8" name="PivotTable6"/>
    <pivotTable tabId="8" name="PivotTable7"/>
  </pivotTables>
  <data>
    <tabular pivotCacheId="998637947">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F45806C-A3F5-9649-BF9C-DCABBC72E91D}" sourceName="Fuel_Type">
  <pivotTables>
    <pivotTable tabId="8" name="PivotTable3"/>
    <pivotTable tabId="8" name="PivotTable4"/>
    <pivotTable tabId="8" name="PivotTable5"/>
    <pivotTable tabId="8" name="PivotTable6"/>
    <pivotTable tabId="8" name="PivotTable7"/>
  </pivotTables>
  <data>
    <tabular pivotCacheId="9986379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 xr10:uid="{E6C160B9-EE01-7542-849D-3D3F3E6D93FB}" cache="Slicer_Station" caption="Station" rowHeight="251883"/>
  <slicer name="Region" xr10:uid="{A0E484C6-24E8-8248-A006-81D9A2DCFAF2}" cache="Slicer_Region" caption="Region" rowHeight="251882"/>
  <slicer name="Fuel_Type" xr10:uid="{918B0A11-D2B5-1043-893B-C2DC98CEAF9E}" cache="Slicer_Fuel_Type" caption="Fuel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 1" xr10:uid="{D591A5A0-5043-BA48-B6C0-9495A512335D}" cache="Slicer_Station" caption="Station" rowHeight="251883"/>
  <slicer name="Region 1" xr10:uid="{4C81A03C-718A-AF4C-9C5F-330FAF7A01F0}" cache="Slicer_Region" caption="Region" rowHeight="251882"/>
  <slicer name="Fuel_Type 1" xr10:uid="{BC60F426-2D5A-C04A-9270-3D3C40DB522E}" cache="Slicer_Fuel_Type" caption="Fuel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48978-5CC0-414D-AF26-0C2D16985770}" name="Table1" displayName="Table1" ref="A1:N1001" totalsRowShown="0">
  <autoFilter ref="A1:N1001" xr:uid="{DD748978-5CC0-414D-AF26-0C2D16985770}"/>
  <tableColumns count="14">
    <tableColumn id="1" xr3:uid="{9560B4B9-01A5-0E45-922B-CC5A91CE8102}" name="Date" dataDxfId="42"/>
    <tableColumn id="2" xr3:uid="{2A903C34-EC2E-2941-BDF2-D594DF8BD15E}" name="Station"/>
    <tableColumn id="3" xr3:uid="{7522F5C5-51C0-0F44-BD94-C95DBA1D6296}" name="Region"/>
    <tableColumn id="4" xr3:uid="{9A5D5ABD-D553-9447-B842-64BEF78C655A}" name="Fuel_Type"/>
    <tableColumn id="5" xr3:uid="{60E5B8EC-9DA4-7B42-B836-A1DCFB87FB16}" name="Liters_Sold"/>
    <tableColumn id="6" xr3:uid="{457C9C8E-1505-E648-839B-102B900CDE0D}" name="Price_per_Liter"/>
    <tableColumn id="7" xr3:uid="{B5C004E4-AAEE-A846-8F33-52B1326B89EC}" name="Cost_per_Liter"/>
    <tableColumn id="8" xr3:uid="{937B40F5-C868-CF49-B8E9-DB8E29EF5D95}" name="Revenue"/>
    <tableColumn id="9" xr3:uid="{2AD357EF-809D-DC43-92BE-778E06BD58B7}" name="Cost"/>
    <tableColumn id="10" xr3:uid="{B4E9D2D1-C41C-7946-B2E1-F696BE2FA2E5}" name="Profit"/>
    <tableColumn id="12" xr3:uid="{64E35DD6-AAF6-9647-BA1F-4C3E682105E3}" name="Delivery volume" dataDxfId="41">
      <calculatedColumnFormula>Table1[[#This Row],[Liters_Sold]]</calculatedColumnFormula>
    </tableColumn>
    <tableColumn id="13" xr3:uid="{FEAE3BFD-09D5-BF40-89EC-54A45F2443EB}" name="Delivery Cost" dataDxfId="40">
      <calculatedColumnFormula>Table1[[#This Row],[Delivery volume]]*0.05</calculatedColumnFormula>
    </tableColumn>
    <tableColumn id="14" xr3:uid="{51448C1E-CFA5-FC49-989F-0D751845C5DF}" name="Delivery Efficiency" dataDxfId="39">
      <calculatedColumnFormula>Table1[[#This Row],[Delivery Cost]]/Table1[[#This Row],[Revenue]]</calculatedColumnFormula>
    </tableColumn>
    <tableColumn id="11" xr3:uid="{E923CA3C-CA83-A846-A017-C56C05E9E084}" name="Month" dataDxfId="38">
      <calculatedColumnFormula>TEXT(A2,"mmm")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7C3EB8-8EF9-0E40-8974-1B30DC795A29}" name="Table2" displayName="Table2" ref="A3:K1003" totalsRowShown="0">
  <autoFilter ref="A3:K1003" xr:uid="{917C3EB8-8EF9-0E40-8974-1B30DC795A29}"/>
  <tableColumns count="11">
    <tableColumn id="1" xr3:uid="{33DBE03E-AE7B-7545-AD32-F4F30D4DDA80}" name="Date" dataDxfId="23"/>
    <tableColumn id="2" xr3:uid="{230E80DC-00AE-764D-A742-A4EE6746E172}" name="Station"/>
    <tableColumn id="3" xr3:uid="{289025BF-F70C-DC44-869F-AF78F9DF8A9F}" name="Region"/>
    <tableColumn id="4" xr3:uid="{E41FE715-DC4B-A84A-9303-DFB841ADAE21}" name="Fuel_Type"/>
    <tableColumn id="5" xr3:uid="{A98EA54C-1A28-A045-9FDD-84FFFCFF9FFD}" name="Liters_Sold"/>
    <tableColumn id="6" xr3:uid="{2ECE228C-0D03-AE49-934E-F0659E9B1740}" name="Price_per_Liter"/>
    <tableColumn id="7" xr3:uid="{0715DC92-BBAF-7846-BA8D-E99D0E69170B}" name="Cost_per_Liter"/>
    <tableColumn id="8" xr3:uid="{3E2A3A5A-79A4-2F42-8C85-A8E9011F8F5F}" name="Revenue"/>
    <tableColumn id="9" xr3:uid="{7A2C10B6-60B7-F741-BBE1-79E1E0D9BE2E}" name="Cost"/>
    <tableColumn id="10" xr3:uid="{6CD01CB5-78CB-504E-9965-30D7DF4256CB}" name="Profit"/>
    <tableColumn id="11" xr3:uid="{B43DB54C-3D7B-D74C-A498-0698C99E943D}"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F319-60BD-6D41-BD39-2A548DF15639}">
  <sheetPr>
    <pageSetUpPr fitToPage="1"/>
  </sheetPr>
  <dimension ref="R10:T18"/>
  <sheetViews>
    <sheetView view="pageBreakPreview" zoomScale="80" zoomScaleNormal="90" zoomScaleSheetLayoutView="80" workbookViewId="0">
      <selection activeCell="S31" sqref="S31"/>
    </sheetView>
  </sheetViews>
  <sheetFormatPr baseColWidth="10" defaultRowHeight="16" x14ac:dyDescent="0.2"/>
  <cols>
    <col min="18" max="18" width="17.1640625" bestFit="1" customWidth="1"/>
  </cols>
  <sheetData>
    <row r="10" spans="18:20" ht="7" customHeight="1" x14ac:dyDescent="0.2"/>
    <row r="13" spans="18:20" x14ac:dyDescent="0.2">
      <c r="R13" s="4"/>
    </row>
    <row r="14" spans="18:20" x14ac:dyDescent="0.2">
      <c r="R14" s="5"/>
    </row>
    <row r="15" spans="18:20" x14ac:dyDescent="0.2">
      <c r="T15" s="9"/>
    </row>
    <row r="18" spans="18:18" x14ac:dyDescent="0.2">
      <c r="R18" s="12"/>
    </row>
  </sheetData>
  <pageMargins left="0.25" right="0.25" top="0.75" bottom="0.75" header="0.3" footer="0.3"/>
  <pageSetup paperSize="9" scale="44"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0540-3EE1-9B4D-A373-BD272AE5D400}">
  <sheetPr>
    <pageSetUpPr fitToPage="1"/>
  </sheetPr>
  <dimension ref="R10:U25"/>
  <sheetViews>
    <sheetView tabSelected="1" view="pageBreakPreview" topLeftCell="A16" zoomScale="90" zoomScaleNormal="90" zoomScaleSheetLayoutView="90" workbookViewId="0">
      <selection activeCell="R46" sqref="R46"/>
    </sheetView>
  </sheetViews>
  <sheetFormatPr baseColWidth="10" defaultRowHeight="16" x14ac:dyDescent="0.2"/>
  <cols>
    <col min="18" max="18" width="17.1640625" bestFit="1" customWidth="1"/>
  </cols>
  <sheetData>
    <row r="10" spans="18:20" ht="7" customHeight="1" x14ac:dyDescent="0.2"/>
    <row r="13" spans="18:20" x14ac:dyDescent="0.2">
      <c r="R13" s="4"/>
    </row>
    <row r="14" spans="18:20" x14ac:dyDescent="0.2">
      <c r="R14" s="5"/>
    </row>
    <row r="15" spans="18:20" x14ac:dyDescent="0.2">
      <c r="T15" s="9"/>
    </row>
    <row r="18" spans="18:21" x14ac:dyDescent="0.2">
      <c r="R18" s="12"/>
    </row>
    <row r="25" spans="18:21" x14ac:dyDescent="0.2">
      <c r="U25">
        <v>2</v>
      </c>
    </row>
  </sheetData>
  <pageMargins left="0.25" right="0.25" top="0.75" bottom="0.75" header="0.3" footer="0.3"/>
  <pageSetup paperSize="9" scale="44" orientation="landscape"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509D-6B59-FE41-817C-1544A0974331}">
  <dimension ref="A1:N1006"/>
  <sheetViews>
    <sheetView workbookViewId="0">
      <pane ySplit="1" topLeftCell="A2" activePane="bottomLeft" state="frozen"/>
      <selection activeCell="C13" sqref="C13"/>
      <selection pane="bottomLeft" activeCell="J15" sqref="J15"/>
    </sheetView>
  </sheetViews>
  <sheetFormatPr baseColWidth="10" defaultRowHeight="16" x14ac:dyDescent="0.2"/>
  <cols>
    <col min="1" max="1" width="8.5" bestFit="1" customWidth="1"/>
    <col min="2" max="2" width="9.33203125" bestFit="1" customWidth="1"/>
    <col min="3" max="3" width="12.5" bestFit="1" customWidth="1"/>
    <col min="4" max="4" width="11.5" customWidth="1"/>
    <col min="5" max="5" width="12.6640625" customWidth="1"/>
    <col min="6" max="6" width="16" customWidth="1"/>
    <col min="7" max="7" width="15.6640625" customWidth="1"/>
    <col min="8" max="8" width="14" bestFit="1" customWidth="1"/>
    <col min="9" max="9" width="13" bestFit="1" customWidth="1"/>
    <col min="10" max="10" width="12.5" bestFit="1" customWidth="1"/>
    <col min="11" max="13" width="12.5" customWidth="1"/>
  </cols>
  <sheetData>
    <row r="1" spans="1:14" x14ac:dyDescent="0.2">
      <c r="A1" t="s">
        <v>0</v>
      </c>
      <c r="B1" t="s">
        <v>1</v>
      </c>
      <c r="C1" t="s">
        <v>2</v>
      </c>
      <c r="D1" t="s">
        <v>3</v>
      </c>
      <c r="E1" t="s">
        <v>4</v>
      </c>
      <c r="F1" t="s">
        <v>5</v>
      </c>
      <c r="G1" t="s">
        <v>6</v>
      </c>
      <c r="H1" t="s">
        <v>7</v>
      </c>
      <c r="I1" t="s">
        <v>8</v>
      </c>
      <c r="J1" t="s">
        <v>9</v>
      </c>
      <c r="K1" t="s">
        <v>54</v>
      </c>
      <c r="L1" t="s">
        <v>55</v>
      </c>
      <c r="M1" t="s">
        <v>56</v>
      </c>
      <c r="N1" t="s">
        <v>33</v>
      </c>
    </row>
    <row r="2" spans="1:14" x14ac:dyDescent="0.2">
      <c r="A2" s="1">
        <v>45394</v>
      </c>
      <c r="B2" t="s">
        <v>10</v>
      </c>
      <c r="C2" t="s">
        <v>11</v>
      </c>
      <c r="D2" t="s">
        <v>12</v>
      </c>
      <c r="E2">
        <v>3116</v>
      </c>
      <c r="F2">
        <v>1.25</v>
      </c>
      <c r="G2">
        <v>1.05</v>
      </c>
      <c r="H2">
        <v>3895</v>
      </c>
      <c r="I2">
        <v>3271.8</v>
      </c>
      <c r="J2">
        <v>623.19999999999902</v>
      </c>
      <c r="K2">
        <f>Table1[[#This Row],[Liters_Sold]]</f>
        <v>3116</v>
      </c>
      <c r="L2">
        <f>Table1[[#This Row],[Delivery volume]]*0.05</f>
        <v>155.80000000000001</v>
      </c>
      <c r="M2" s="16">
        <f>Table1[[#This Row],[Delivery Cost]]/Table1[[#This Row],[Revenue]]</f>
        <v>0.04</v>
      </c>
      <c r="N2" t="str">
        <f t="shared" ref="N2:N65" si="0">TEXT(A2,"mmm")</f>
        <v>Apr</v>
      </c>
    </row>
    <row r="3" spans="1:14" x14ac:dyDescent="0.2">
      <c r="A3" s="1">
        <v>45640</v>
      </c>
      <c r="B3" t="s">
        <v>13</v>
      </c>
      <c r="C3" t="s">
        <v>11</v>
      </c>
      <c r="D3" t="s">
        <v>14</v>
      </c>
      <c r="E3">
        <v>1387</v>
      </c>
      <c r="F3">
        <v>0.9</v>
      </c>
      <c r="G3">
        <v>0.7</v>
      </c>
      <c r="H3">
        <v>1248.3</v>
      </c>
      <c r="I3">
        <v>970.9</v>
      </c>
      <c r="J3">
        <v>277.39999999999998</v>
      </c>
      <c r="K3">
        <f>Table1[[#This Row],[Liters_Sold]]</f>
        <v>1387</v>
      </c>
      <c r="L3">
        <f>Table1[[#This Row],[Delivery volume]]*0.05</f>
        <v>69.350000000000009</v>
      </c>
      <c r="M3" s="16">
        <f>Table1[[#This Row],[Delivery Cost]]/Table1[[#This Row],[Revenue]]</f>
        <v>5.5555555555555566E-2</v>
      </c>
      <c r="N3" t="str">
        <f t="shared" si="0"/>
        <v>Dec</v>
      </c>
    </row>
    <row r="4" spans="1:14" x14ac:dyDescent="0.2">
      <c r="A4" s="1">
        <v>45562</v>
      </c>
      <c r="B4" t="s">
        <v>15</v>
      </c>
      <c r="C4" t="s">
        <v>11</v>
      </c>
      <c r="D4" t="s">
        <v>12</v>
      </c>
      <c r="E4">
        <v>3604</v>
      </c>
      <c r="F4">
        <v>1.25</v>
      </c>
      <c r="G4">
        <v>1.05</v>
      </c>
      <c r="H4">
        <v>4505</v>
      </c>
      <c r="I4">
        <v>3784.2</v>
      </c>
      <c r="J4">
        <v>720.79999999999905</v>
      </c>
      <c r="K4">
        <f>Table1[[#This Row],[Liters_Sold]]</f>
        <v>3604</v>
      </c>
      <c r="L4">
        <f>Table1[[#This Row],[Delivery volume]]*0.05</f>
        <v>180.20000000000002</v>
      </c>
      <c r="M4" s="16">
        <f>Table1[[#This Row],[Delivery Cost]]/Table1[[#This Row],[Revenue]]</f>
        <v>0.04</v>
      </c>
      <c r="N4" t="str">
        <f t="shared" si="0"/>
        <v>Sep</v>
      </c>
    </row>
    <row r="5" spans="1:14" x14ac:dyDescent="0.2">
      <c r="A5" s="1">
        <v>45398</v>
      </c>
      <c r="B5" t="s">
        <v>16</v>
      </c>
      <c r="C5" t="s">
        <v>17</v>
      </c>
      <c r="D5" t="s">
        <v>18</v>
      </c>
      <c r="E5">
        <v>5937</v>
      </c>
      <c r="F5">
        <v>1.2</v>
      </c>
      <c r="G5">
        <v>1</v>
      </c>
      <c r="H5">
        <v>7124.4</v>
      </c>
      <c r="I5">
        <v>5937</v>
      </c>
      <c r="J5">
        <v>1187.3999999999901</v>
      </c>
      <c r="K5">
        <f>Table1[[#This Row],[Liters_Sold]]</f>
        <v>5937</v>
      </c>
      <c r="L5">
        <f>Table1[[#This Row],[Delivery volume]]*0.05</f>
        <v>296.85000000000002</v>
      </c>
      <c r="M5" s="16">
        <f>Table1[[#This Row],[Delivery Cost]]/Table1[[#This Row],[Revenue]]</f>
        <v>4.1666666666666671E-2</v>
      </c>
      <c r="N5" t="str">
        <f t="shared" si="0"/>
        <v>Apr</v>
      </c>
    </row>
    <row r="6" spans="1:14" x14ac:dyDescent="0.2">
      <c r="A6" s="1">
        <v>45363</v>
      </c>
      <c r="B6" t="s">
        <v>19</v>
      </c>
      <c r="C6" t="s">
        <v>20</v>
      </c>
      <c r="D6" t="s">
        <v>14</v>
      </c>
      <c r="E6">
        <v>549</v>
      </c>
      <c r="F6">
        <v>0.9</v>
      </c>
      <c r="G6">
        <v>0.7</v>
      </c>
      <c r="H6">
        <v>494.1</v>
      </c>
      <c r="I6">
        <v>384.29999999999899</v>
      </c>
      <c r="J6">
        <v>109.8</v>
      </c>
      <c r="K6">
        <f>Table1[[#This Row],[Liters_Sold]]</f>
        <v>549</v>
      </c>
      <c r="L6">
        <f>Table1[[#This Row],[Delivery volume]]*0.05</f>
        <v>27.450000000000003</v>
      </c>
      <c r="M6" s="16">
        <f>Table1[[#This Row],[Delivery Cost]]/Table1[[#This Row],[Revenue]]</f>
        <v>5.5555555555555559E-2</v>
      </c>
      <c r="N6" t="str">
        <f t="shared" si="0"/>
        <v>Mar</v>
      </c>
    </row>
    <row r="7" spans="1:14" x14ac:dyDescent="0.2">
      <c r="A7" s="1">
        <v>45480</v>
      </c>
      <c r="B7" t="s">
        <v>21</v>
      </c>
      <c r="C7" t="s">
        <v>17</v>
      </c>
      <c r="D7" t="s">
        <v>18</v>
      </c>
      <c r="E7">
        <v>4451</v>
      </c>
      <c r="F7">
        <v>1.2</v>
      </c>
      <c r="G7">
        <v>1</v>
      </c>
      <c r="H7">
        <v>5341.2</v>
      </c>
      <c r="I7">
        <v>4451</v>
      </c>
      <c r="J7">
        <v>890.19999999999902</v>
      </c>
      <c r="K7">
        <f>Table1[[#This Row],[Liters_Sold]]</f>
        <v>4451</v>
      </c>
      <c r="L7">
        <f>Table1[[#This Row],[Delivery volume]]*0.05</f>
        <v>222.55</v>
      </c>
      <c r="M7" s="16">
        <f>Table1[[#This Row],[Delivery Cost]]/Table1[[#This Row],[Revenue]]</f>
        <v>4.1666666666666671E-2</v>
      </c>
      <c r="N7" t="str">
        <f t="shared" si="0"/>
        <v>Jul</v>
      </c>
    </row>
    <row r="8" spans="1:14" x14ac:dyDescent="0.2">
      <c r="A8" s="1">
        <v>45312</v>
      </c>
      <c r="B8" t="s">
        <v>22</v>
      </c>
      <c r="C8" t="s">
        <v>23</v>
      </c>
      <c r="D8" t="s">
        <v>14</v>
      </c>
      <c r="E8">
        <v>4060</v>
      </c>
      <c r="F8">
        <v>0.9</v>
      </c>
      <c r="G8">
        <v>0.7</v>
      </c>
      <c r="H8">
        <v>3654</v>
      </c>
      <c r="I8">
        <v>2842</v>
      </c>
      <c r="J8">
        <v>812</v>
      </c>
      <c r="K8">
        <f>Table1[[#This Row],[Liters_Sold]]</f>
        <v>4060</v>
      </c>
      <c r="L8">
        <f>Table1[[#This Row],[Delivery volume]]*0.05</f>
        <v>203</v>
      </c>
      <c r="M8" s="16">
        <f>Table1[[#This Row],[Delivery Cost]]/Table1[[#This Row],[Revenue]]</f>
        <v>5.5555555555555552E-2</v>
      </c>
      <c r="N8" t="str">
        <f t="shared" si="0"/>
        <v>Jan</v>
      </c>
    </row>
    <row r="9" spans="1:14" x14ac:dyDescent="0.2">
      <c r="A9" s="1">
        <v>45394</v>
      </c>
      <c r="B9" t="s">
        <v>24</v>
      </c>
      <c r="C9" t="s">
        <v>11</v>
      </c>
      <c r="D9" t="s">
        <v>12</v>
      </c>
      <c r="E9">
        <v>518</v>
      </c>
      <c r="F9">
        <v>1.25</v>
      </c>
      <c r="G9">
        <v>1.05</v>
      </c>
      <c r="H9">
        <v>647.5</v>
      </c>
      <c r="I9">
        <v>543.9</v>
      </c>
      <c r="J9">
        <v>103.6</v>
      </c>
      <c r="K9">
        <f>Table1[[#This Row],[Liters_Sold]]</f>
        <v>518</v>
      </c>
      <c r="L9">
        <f>Table1[[#This Row],[Delivery volume]]*0.05</f>
        <v>25.900000000000002</v>
      </c>
      <c r="M9" s="16">
        <f>Table1[[#This Row],[Delivery Cost]]/Table1[[#This Row],[Revenue]]</f>
        <v>0.04</v>
      </c>
      <c r="N9" t="str">
        <f t="shared" si="0"/>
        <v>Apr</v>
      </c>
    </row>
    <row r="10" spans="1:14" x14ac:dyDescent="0.2">
      <c r="A10" s="1">
        <v>45413</v>
      </c>
      <c r="B10" t="s">
        <v>25</v>
      </c>
      <c r="C10" t="s">
        <v>17</v>
      </c>
      <c r="D10" t="s">
        <v>12</v>
      </c>
      <c r="E10">
        <v>5321</v>
      </c>
      <c r="F10">
        <v>1.25</v>
      </c>
      <c r="G10">
        <v>1.05</v>
      </c>
      <c r="H10">
        <v>6651.25</v>
      </c>
      <c r="I10">
        <v>5587.05</v>
      </c>
      <c r="J10">
        <v>1064.19999999999</v>
      </c>
      <c r="K10">
        <f>Table1[[#This Row],[Liters_Sold]]</f>
        <v>5321</v>
      </c>
      <c r="L10">
        <f>Table1[[#This Row],[Delivery volume]]*0.05</f>
        <v>266.05</v>
      </c>
      <c r="M10" s="16">
        <f>Table1[[#This Row],[Delivery Cost]]/Table1[[#This Row],[Revenue]]</f>
        <v>0.04</v>
      </c>
      <c r="N10" t="str">
        <f t="shared" si="0"/>
        <v>May</v>
      </c>
    </row>
    <row r="11" spans="1:14" x14ac:dyDescent="0.2">
      <c r="A11" s="1">
        <v>45506</v>
      </c>
      <c r="B11" t="s">
        <v>26</v>
      </c>
      <c r="C11" t="s">
        <v>17</v>
      </c>
      <c r="D11" t="s">
        <v>12</v>
      </c>
      <c r="E11">
        <v>1973</v>
      </c>
      <c r="F11">
        <v>1.25</v>
      </c>
      <c r="G11">
        <v>1.05</v>
      </c>
      <c r="H11">
        <v>2466.25</v>
      </c>
      <c r="I11">
        <v>2071.65</v>
      </c>
      <c r="J11">
        <v>394.599999999999</v>
      </c>
      <c r="K11">
        <f>Table1[[#This Row],[Liters_Sold]]</f>
        <v>1973</v>
      </c>
      <c r="L11">
        <f>Table1[[#This Row],[Delivery volume]]*0.05</f>
        <v>98.65</v>
      </c>
      <c r="M11" s="16">
        <f>Table1[[#This Row],[Delivery Cost]]/Table1[[#This Row],[Revenue]]</f>
        <v>0.04</v>
      </c>
      <c r="N11" t="str">
        <f t="shared" si="0"/>
        <v>Aug</v>
      </c>
    </row>
    <row r="12" spans="1:14" x14ac:dyDescent="0.2">
      <c r="A12" s="1">
        <v>45622</v>
      </c>
      <c r="B12" t="s">
        <v>27</v>
      </c>
      <c r="C12" t="s">
        <v>23</v>
      </c>
      <c r="D12" t="s">
        <v>18</v>
      </c>
      <c r="E12">
        <v>4561</v>
      </c>
      <c r="F12">
        <v>1.2</v>
      </c>
      <c r="G12">
        <v>1</v>
      </c>
      <c r="H12">
        <v>5473.2</v>
      </c>
      <c r="I12">
        <v>4561</v>
      </c>
      <c r="J12">
        <v>912.19999999999902</v>
      </c>
      <c r="K12">
        <f>Table1[[#This Row],[Liters_Sold]]</f>
        <v>4561</v>
      </c>
      <c r="L12">
        <f>Table1[[#This Row],[Delivery volume]]*0.05</f>
        <v>228.05</v>
      </c>
      <c r="M12" s="16">
        <f>Table1[[#This Row],[Delivery Cost]]/Table1[[#This Row],[Revenue]]</f>
        <v>4.1666666666666671E-2</v>
      </c>
      <c r="N12" t="str">
        <f t="shared" si="0"/>
        <v>Nov</v>
      </c>
    </row>
    <row r="13" spans="1:14" x14ac:dyDescent="0.2">
      <c r="A13" s="1">
        <v>45379</v>
      </c>
      <c r="B13" t="s">
        <v>28</v>
      </c>
      <c r="C13" t="s">
        <v>29</v>
      </c>
      <c r="D13" t="s">
        <v>14</v>
      </c>
      <c r="E13">
        <v>3106</v>
      </c>
      <c r="F13">
        <v>0.9</v>
      </c>
      <c r="G13">
        <v>0.7</v>
      </c>
      <c r="H13">
        <v>2795.4</v>
      </c>
      <c r="I13">
        <v>2174.1999999999998</v>
      </c>
      <c r="J13">
        <v>621.20000000000005</v>
      </c>
      <c r="K13">
        <f>Table1[[#This Row],[Liters_Sold]]</f>
        <v>3106</v>
      </c>
      <c r="L13">
        <f>Table1[[#This Row],[Delivery volume]]*0.05</f>
        <v>155.30000000000001</v>
      </c>
      <c r="M13" s="16">
        <f>Table1[[#This Row],[Delivery Cost]]/Table1[[#This Row],[Revenue]]</f>
        <v>5.5555555555555559E-2</v>
      </c>
      <c r="N13" t="str">
        <f t="shared" si="0"/>
        <v>Mar</v>
      </c>
    </row>
    <row r="14" spans="1:14" x14ac:dyDescent="0.2">
      <c r="A14" s="1">
        <v>45391</v>
      </c>
      <c r="B14" t="s">
        <v>26</v>
      </c>
      <c r="C14" t="s">
        <v>20</v>
      </c>
      <c r="D14" t="s">
        <v>12</v>
      </c>
      <c r="E14">
        <v>951</v>
      </c>
      <c r="F14">
        <v>1.25</v>
      </c>
      <c r="G14">
        <v>1.05</v>
      </c>
      <c r="H14">
        <v>1188.75</v>
      </c>
      <c r="I14">
        <v>998.55</v>
      </c>
      <c r="J14">
        <v>190.19999999999899</v>
      </c>
      <c r="K14">
        <f>Table1[[#This Row],[Liters_Sold]]</f>
        <v>951</v>
      </c>
      <c r="L14">
        <f>Table1[[#This Row],[Delivery volume]]*0.05</f>
        <v>47.550000000000004</v>
      </c>
      <c r="M14" s="16">
        <f>Table1[[#This Row],[Delivery Cost]]/Table1[[#This Row],[Revenue]]</f>
        <v>0.04</v>
      </c>
      <c r="N14" t="str">
        <f t="shared" si="0"/>
        <v>Apr</v>
      </c>
    </row>
    <row r="15" spans="1:14" x14ac:dyDescent="0.2">
      <c r="A15" s="1">
        <v>45651</v>
      </c>
      <c r="B15" t="s">
        <v>30</v>
      </c>
      <c r="C15" t="s">
        <v>29</v>
      </c>
      <c r="D15" t="s">
        <v>18</v>
      </c>
      <c r="E15">
        <v>5760</v>
      </c>
      <c r="F15">
        <v>1.2</v>
      </c>
      <c r="G15">
        <v>1</v>
      </c>
      <c r="H15">
        <v>6912</v>
      </c>
      <c r="I15">
        <v>5760</v>
      </c>
      <c r="J15">
        <v>1152</v>
      </c>
      <c r="K15">
        <f>Table1[[#This Row],[Liters_Sold]]</f>
        <v>5760</v>
      </c>
      <c r="L15">
        <f>Table1[[#This Row],[Delivery volume]]*0.05</f>
        <v>288</v>
      </c>
      <c r="M15" s="16">
        <f>Table1[[#This Row],[Delivery Cost]]/Table1[[#This Row],[Revenue]]</f>
        <v>4.1666666666666664E-2</v>
      </c>
      <c r="N15" t="str">
        <f t="shared" si="0"/>
        <v>Dec</v>
      </c>
    </row>
    <row r="16" spans="1:14" x14ac:dyDescent="0.2">
      <c r="A16" s="1">
        <v>45443</v>
      </c>
      <c r="B16" t="s">
        <v>24</v>
      </c>
      <c r="C16" t="s">
        <v>11</v>
      </c>
      <c r="D16" t="s">
        <v>12</v>
      </c>
      <c r="E16">
        <v>5703</v>
      </c>
      <c r="F16">
        <v>1.25</v>
      </c>
      <c r="G16">
        <v>1.05</v>
      </c>
      <c r="H16">
        <v>7128.75</v>
      </c>
      <c r="I16">
        <v>5988.15</v>
      </c>
      <c r="J16">
        <v>1140.5999999999899</v>
      </c>
      <c r="K16">
        <f>Table1[[#This Row],[Liters_Sold]]</f>
        <v>5703</v>
      </c>
      <c r="L16">
        <f>Table1[[#This Row],[Delivery volume]]*0.05</f>
        <v>285.15000000000003</v>
      </c>
      <c r="M16" s="16">
        <f>Table1[[#This Row],[Delivery Cost]]/Table1[[#This Row],[Revenue]]</f>
        <v>4.0000000000000008E-2</v>
      </c>
      <c r="N16" t="str">
        <f t="shared" si="0"/>
        <v>May</v>
      </c>
    </row>
    <row r="17" spans="1:14" x14ac:dyDescent="0.2">
      <c r="A17" s="1">
        <v>45422</v>
      </c>
      <c r="B17" t="s">
        <v>15</v>
      </c>
      <c r="C17" t="s">
        <v>17</v>
      </c>
      <c r="D17" t="s">
        <v>18</v>
      </c>
      <c r="E17">
        <v>4265</v>
      </c>
      <c r="F17">
        <v>1.2</v>
      </c>
      <c r="G17">
        <v>1</v>
      </c>
      <c r="H17">
        <v>5118</v>
      </c>
      <c r="I17">
        <v>4265</v>
      </c>
      <c r="J17">
        <v>853</v>
      </c>
      <c r="K17">
        <f>Table1[[#This Row],[Liters_Sold]]</f>
        <v>4265</v>
      </c>
      <c r="L17">
        <f>Table1[[#This Row],[Delivery volume]]*0.05</f>
        <v>213.25</v>
      </c>
      <c r="M17" s="16">
        <f>Table1[[#This Row],[Delivery Cost]]/Table1[[#This Row],[Revenue]]</f>
        <v>4.1666666666666664E-2</v>
      </c>
      <c r="N17" t="str">
        <f t="shared" si="0"/>
        <v>May</v>
      </c>
    </row>
    <row r="18" spans="1:14" x14ac:dyDescent="0.2">
      <c r="A18" s="1">
        <v>45441</v>
      </c>
      <c r="B18" t="s">
        <v>25</v>
      </c>
      <c r="C18" t="s">
        <v>23</v>
      </c>
      <c r="D18" t="s">
        <v>12</v>
      </c>
      <c r="E18">
        <v>2938</v>
      </c>
      <c r="F18">
        <v>1.25</v>
      </c>
      <c r="G18">
        <v>1.05</v>
      </c>
      <c r="H18">
        <v>3672.5</v>
      </c>
      <c r="I18">
        <v>3084.9</v>
      </c>
      <c r="J18">
        <v>587.599999999999</v>
      </c>
      <c r="K18">
        <f>Table1[[#This Row],[Liters_Sold]]</f>
        <v>2938</v>
      </c>
      <c r="L18">
        <f>Table1[[#This Row],[Delivery volume]]*0.05</f>
        <v>146.9</v>
      </c>
      <c r="M18" s="16">
        <f>Table1[[#This Row],[Delivery Cost]]/Table1[[#This Row],[Revenue]]</f>
        <v>0.04</v>
      </c>
      <c r="N18" t="str">
        <f t="shared" si="0"/>
        <v>May</v>
      </c>
    </row>
    <row r="19" spans="1:14" x14ac:dyDescent="0.2">
      <c r="A19" s="1">
        <v>45600</v>
      </c>
      <c r="B19" t="s">
        <v>24</v>
      </c>
      <c r="C19" t="s">
        <v>23</v>
      </c>
      <c r="D19" t="s">
        <v>14</v>
      </c>
      <c r="E19">
        <v>4810</v>
      </c>
      <c r="F19">
        <v>0.9</v>
      </c>
      <c r="G19">
        <v>0.7</v>
      </c>
      <c r="H19">
        <v>4329</v>
      </c>
      <c r="I19">
        <v>3367</v>
      </c>
      <c r="J19">
        <v>962</v>
      </c>
      <c r="K19">
        <f>Table1[[#This Row],[Liters_Sold]]</f>
        <v>4810</v>
      </c>
      <c r="L19">
        <f>Table1[[#This Row],[Delivery volume]]*0.05</f>
        <v>240.5</v>
      </c>
      <c r="M19" s="16">
        <f>Table1[[#This Row],[Delivery Cost]]/Table1[[#This Row],[Revenue]]</f>
        <v>5.5555555555555552E-2</v>
      </c>
      <c r="N19" t="str">
        <f t="shared" si="0"/>
        <v>Nov</v>
      </c>
    </row>
    <row r="20" spans="1:14" x14ac:dyDescent="0.2">
      <c r="A20" s="1">
        <v>45549</v>
      </c>
      <c r="B20" t="s">
        <v>13</v>
      </c>
      <c r="C20" t="s">
        <v>20</v>
      </c>
      <c r="D20" t="s">
        <v>18</v>
      </c>
      <c r="E20">
        <v>2049</v>
      </c>
      <c r="F20">
        <v>1.2</v>
      </c>
      <c r="G20">
        <v>1</v>
      </c>
      <c r="H20">
        <v>2458.7999999999902</v>
      </c>
      <c r="I20">
        <v>2049</v>
      </c>
      <c r="J20">
        <v>409.79999999999899</v>
      </c>
      <c r="K20">
        <f>Table1[[#This Row],[Liters_Sold]]</f>
        <v>2049</v>
      </c>
      <c r="L20">
        <f>Table1[[#This Row],[Delivery volume]]*0.05</f>
        <v>102.45</v>
      </c>
      <c r="M20" s="16">
        <f>Table1[[#This Row],[Delivery Cost]]/Table1[[#This Row],[Revenue]]</f>
        <v>4.1666666666666831E-2</v>
      </c>
      <c r="N20" t="str">
        <f t="shared" si="0"/>
        <v>Sep</v>
      </c>
    </row>
    <row r="21" spans="1:14" x14ac:dyDescent="0.2">
      <c r="A21" s="1">
        <v>45635</v>
      </c>
      <c r="B21" t="s">
        <v>21</v>
      </c>
      <c r="C21" t="s">
        <v>29</v>
      </c>
      <c r="D21" t="s">
        <v>12</v>
      </c>
      <c r="E21">
        <v>3974</v>
      </c>
      <c r="F21">
        <v>1.25</v>
      </c>
      <c r="G21">
        <v>1.05</v>
      </c>
      <c r="H21">
        <v>4967.5</v>
      </c>
      <c r="I21">
        <v>4172.7</v>
      </c>
      <c r="J21">
        <v>794.8</v>
      </c>
      <c r="K21">
        <f>Table1[[#This Row],[Liters_Sold]]</f>
        <v>3974</v>
      </c>
      <c r="L21">
        <f>Table1[[#This Row],[Delivery volume]]*0.05</f>
        <v>198.70000000000002</v>
      </c>
      <c r="M21" s="16">
        <f>Table1[[#This Row],[Delivery Cost]]/Table1[[#This Row],[Revenue]]</f>
        <v>0.04</v>
      </c>
      <c r="N21" t="str">
        <f t="shared" si="0"/>
        <v>Dec</v>
      </c>
    </row>
    <row r="22" spans="1:14" x14ac:dyDescent="0.2">
      <c r="A22" s="1">
        <v>45585</v>
      </c>
      <c r="B22" t="s">
        <v>10</v>
      </c>
      <c r="C22" t="s">
        <v>20</v>
      </c>
      <c r="D22" t="s">
        <v>12</v>
      </c>
      <c r="E22">
        <v>627</v>
      </c>
      <c r="F22">
        <v>1.25</v>
      </c>
      <c r="G22">
        <v>1.05</v>
      </c>
      <c r="H22">
        <v>783.75</v>
      </c>
      <c r="I22">
        <v>658.35</v>
      </c>
      <c r="J22">
        <v>125.399999999999</v>
      </c>
      <c r="K22">
        <f>Table1[[#This Row],[Liters_Sold]]</f>
        <v>627</v>
      </c>
      <c r="L22">
        <f>Table1[[#This Row],[Delivery volume]]*0.05</f>
        <v>31.35</v>
      </c>
      <c r="M22" s="16">
        <f>Table1[[#This Row],[Delivery Cost]]/Table1[[#This Row],[Revenue]]</f>
        <v>0.04</v>
      </c>
      <c r="N22" t="str">
        <f t="shared" si="0"/>
        <v>Oct</v>
      </c>
    </row>
    <row r="23" spans="1:14" x14ac:dyDescent="0.2">
      <c r="A23" s="1">
        <v>45483</v>
      </c>
      <c r="B23" t="s">
        <v>27</v>
      </c>
      <c r="C23" t="s">
        <v>17</v>
      </c>
      <c r="D23" t="s">
        <v>12</v>
      </c>
      <c r="E23">
        <v>5355</v>
      </c>
      <c r="F23">
        <v>1.25</v>
      </c>
      <c r="G23">
        <v>1.05</v>
      </c>
      <c r="H23">
        <v>6693.75</v>
      </c>
      <c r="I23">
        <v>5622.75</v>
      </c>
      <c r="J23">
        <v>1071</v>
      </c>
      <c r="K23">
        <f>Table1[[#This Row],[Liters_Sold]]</f>
        <v>5355</v>
      </c>
      <c r="L23">
        <f>Table1[[#This Row],[Delivery volume]]*0.05</f>
        <v>267.75</v>
      </c>
      <c r="M23" s="16">
        <f>Table1[[#This Row],[Delivery Cost]]/Table1[[#This Row],[Revenue]]</f>
        <v>0.04</v>
      </c>
      <c r="N23" t="str">
        <f t="shared" si="0"/>
        <v>Jul</v>
      </c>
    </row>
    <row r="24" spans="1:14" x14ac:dyDescent="0.2">
      <c r="A24" s="1">
        <v>45568</v>
      </c>
      <c r="B24" t="s">
        <v>31</v>
      </c>
      <c r="C24" t="s">
        <v>20</v>
      </c>
      <c r="D24" t="s">
        <v>12</v>
      </c>
      <c r="E24">
        <v>3261</v>
      </c>
      <c r="F24">
        <v>1.25</v>
      </c>
      <c r="G24">
        <v>1.05</v>
      </c>
      <c r="H24">
        <v>4076.25</v>
      </c>
      <c r="I24">
        <v>3424.05</v>
      </c>
      <c r="J24">
        <v>652.19999999999902</v>
      </c>
      <c r="K24">
        <f>Table1[[#This Row],[Liters_Sold]]</f>
        <v>3261</v>
      </c>
      <c r="L24">
        <f>Table1[[#This Row],[Delivery volume]]*0.05</f>
        <v>163.05000000000001</v>
      </c>
      <c r="M24" s="16">
        <f>Table1[[#This Row],[Delivery Cost]]/Table1[[#This Row],[Revenue]]</f>
        <v>0.04</v>
      </c>
      <c r="N24" t="str">
        <f t="shared" si="0"/>
        <v>Oct</v>
      </c>
    </row>
    <row r="25" spans="1:14" x14ac:dyDescent="0.2">
      <c r="A25" s="1">
        <v>45452</v>
      </c>
      <c r="B25" t="s">
        <v>21</v>
      </c>
      <c r="C25" t="s">
        <v>23</v>
      </c>
      <c r="D25" t="s">
        <v>12</v>
      </c>
      <c r="E25">
        <v>4956</v>
      </c>
      <c r="F25">
        <v>1.25</v>
      </c>
      <c r="G25">
        <v>1.05</v>
      </c>
      <c r="H25">
        <v>6195</v>
      </c>
      <c r="I25">
        <v>5203.8</v>
      </c>
      <c r="J25">
        <v>991.19999999999902</v>
      </c>
      <c r="K25">
        <f>Table1[[#This Row],[Liters_Sold]]</f>
        <v>4956</v>
      </c>
      <c r="L25">
        <f>Table1[[#This Row],[Delivery volume]]*0.05</f>
        <v>247.8</v>
      </c>
      <c r="M25" s="16">
        <f>Table1[[#This Row],[Delivery Cost]]/Table1[[#This Row],[Revenue]]</f>
        <v>0.04</v>
      </c>
      <c r="N25" t="str">
        <f t="shared" si="0"/>
        <v>Jun</v>
      </c>
    </row>
    <row r="26" spans="1:14" x14ac:dyDescent="0.2">
      <c r="A26" s="1">
        <v>45605</v>
      </c>
      <c r="B26" t="s">
        <v>31</v>
      </c>
      <c r="C26" t="s">
        <v>23</v>
      </c>
      <c r="D26" t="s">
        <v>14</v>
      </c>
      <c r="E26">
        <v>5164</v>
      </c>
      <c r="F26">
        <v>0.9</v>
      </c>
      <c r="G26">
        <v>0.7</v>
      </c>
      <c r="H26">
        <v>4647.6000000000004</v>
      </c>
      <c r="I26">
        <v>3614.7999999999902</v>
      </c>
      <c r="J26">
        <v>1032.8</v>
      </c>
      <c r="K26">
        <f>Table1[[#This Row],[Liters_Sold]]</f>
        <v>5164</v>
      </c>
      <c r="L26">
        <f>Table1[[#This Row],[Delivery volume]]*0.05</f>
        <v>258.2</v>
      </c>
      <c r="M26" s="16">
        <f>Table1[[#This Row],[Delivery Cost]]/Table1[[#This Row],[Revenue]]</f>
        <v>5.5555555555555546E-2</v>
      </c>
      <c r="N26" t="str">
        <f t="shared" si="0"/>
        <v>Nov</v>
      </c>
    </row>
    <row r="27" spans="1:14" x14ac:dyDescent="0.2">
      <c r="A27" s="1">
        <v>45313</v>
      </c>
      <c r="B27" t="s">
        <v>16</v>
      </c>
      <c r="C27" t="s">
        <v>11</v>
      </c>
      <c r="D27" t="s">
        <v>18</v>
      </c>
      <c r="E27">
        <v>1915</v>
      </c>
      <c r="F27">
        <v>1.2</v>
      </c>
      <c r="G27">
        <v>1</v>
      </c>
      <c r="H27">
        <v>2298</v>
      </c>
      <c r="I27">
        <v>1915</v>
      </c>
      <c r="J27">
        <v>383</v>
      </c>
      <c r="K27">
        <f>Table1[[#This Row],[Liters_Sold]]</f>
        <v>1915</v>
      </c>
      <c r="L27">
        <f>Table1[[#This Row],[Delivery volume]]*0.05</f>
        <v>95.75</v>
      </c>
      <c r="M27" s="16">
        <f>Table1[[#This Row],[Delivery Cost]]/Table1[[#This Row],[Revenue]]</f>
        <v>4.1666666666666664E-2</v>
      </c>
      <c r="N27" t="str">
        <f t="shared" si="0"/>
        <v>Jan</v>
      </c>
    </row>
    <row r="28" spans="1:14" x14ac:dyDescent="0.2">
      <c r="A28" s="1">
        <v>45544</v>
      </c>
      <c r="B28" t="s">
        <v>10</v>
      </c>
      <c r="C28" t="s">
        <v>11</v>
      </c>
      <c r="D28" t="s">
        <v>18</v>
      </c>
      <c r="E28">
        <v>701</v>
      </c>
      <c r="F28">
        <v>1.2</v>
      </c>
      <c r="G28">
        <v>1</v>
      </c>
      <c r="H28">
        <v>841.19999999999902</v>
      </c>
      <c r="I28">
        <v>701</v>
      </c>
      <c r="J28">
        <v>140.19999999999899</v>
      </c>
      <c r="K28">
        <f>Table1[[#This Row],[Liters_Sold]]</f>
        <v>701</v>
      </c>
      <c r="L28">
        <f>Table1[[#This Row],[Delivery volume]]*0.05</f>
        <v>35.050000000000004</v>
      </c>
      <c r="M28" s="16">
        <f>Table1[[#This Row],[Delivery Cost]]/Table1[[#This Row],[Revenue]]</f>
        <v>4.166666666666672E-2</v>
      </c>
      <c r="N28" t="str">
        <f t="shared" si="0"/>
        <v>Sep</v>
      </c>
    </row>
    <row r="29" spans="1:14" x14ac:dyDescent="0.2">
      <c r="A29" s="1">
        <v>45527</v>
      </c>
      <c r="B29" t="s">
        <v>25</v>
      </c>
      <c r="C29" t="s">
        <v>17</v>
      </c>
      <c r="D29" t="s">
        <v>12</v>
      </c>
      <c r="E29">
        <v>2869</v>
      </c>
      <c r="F29">
        <v>1.25</v>
      </c>
      <c r="G29">
        <v>1.05</v>
      </c>
      <c r="H29">
        <v>3586.25</v>
      </c>
      <c r="I29">
        <v>3012.45</v>
      </c>
      <c r="J29">
        <v>573.79999999999905</v>
      </c>
      <c r="K29">
        <f>Table1[[#This Row],[Liters_Sold]]</f>
        <v>2869</v>
      </c>
      <c r="L29">
        <f>Table1[[#This Row],[Delivery volume]]*0.05</f>
        <v>143.45000000000002</v>
      </c>
      <c r="M29" s="16">
        <f>Table1[[#This Row],[Delivery Cost]]/Table1[[#This Row],[Revenue]]</f>
        <v>4.0000000000000008E-2</v>
      </c>
      <c r="N29" t="str">
        <f t="shared" si="0"/>
        <v>Aug</v>
      </c>
    </row>
    <row r="30" spans="1:14" x14ac:dyDescent="0.2">
      <c r="A30" s="1">
        <v>45636</v>
      </c>
      <c r="B30" t="s">
        <v>22</v>
      </c>
      <c r="C30" t="s">
        <v>29</v>
      </c>
      <c r="D30" t="s">
        <v>14</v>
      </c>
      <c r="E30">
        <v>1017</v>
      </c>
      <c r="F30">
        <v>0.9</v>
      </c>
      <c r="G30">
        <v>0.7</v>
      </c>
      <c r="H30">
        <v>915.3</v>
      </c>
      <c r="I30">
        <v>711.9</v>
      </c>
      <c r="J30">
        <v>203.4</v>
      </c>
      <c r="K30">
        <f>Table1[[#This Row],[Liters_Sold]]</f>
        <v>1017</v>
      </c>
      <c r="L30">
        <f>Table1[[#This Row],[Delivery volume]]*0.05</f>
        <v>50.85</v>
      </c>
      <c r="M30" s="16">
        <f>Table1[[#This Row],[Delivery Cost]]/Table1[[#This Row],[Revenue]]</f>
        <v>5.5555555555555559E-2</v>
      </c>
      <c r="N30" t="str">
        <f t="shared" si="0"/>
        <v>Dec</v>
      </c>
    </row>
    <row r="31" spans="1:14" x14ac:dyDescent="0.2">
      <c r="A31" s="1">
        <v>45340</v>
      </c>
      <c r="B31" t="s">
        <v>28</v>
      </c>
      <c r="C31" t="s">
        <v>20</v>
      </c>
      <c r="D31" t="s">
        <v>18</v>
      </c>
      <c r="E31">
        <v>5944</v>
      </c>
      <c r="F31">
        <v>1.2</v>
      </c>
      <c r="G31">
        <v>1</v>
      </c>
      <c r="H31">
        <v>7132.8</v>
      </c>
      <c r="I31">
        <v>5944</v>
      </c>
      <c r="J31">
        <v>1188.8</v>
      </c>
      <c r="K31">
        <f>Table1[[#This Row],[Liters_Sold]]</f>
        <v>5944</v>
      </c>
      <c r="L31">
        <f>Table1[[#This Row],[Delivery volume]]*0.05</f>
        <v>297.2</v>
      </c>
      <c r="M31" s="16">
        <f>Table1[[#This Row],[Delivery Cost]]/Table1[[#This Row],[Revenue]]</f>
        <v>4.1666666666666664E-2</v>
      </c>
      <c r="N31" t="str">
        <f t="shared" si="0"/>
        <v>Feb</v>
      </c>
    </row>
    <row r="32" spans="1:14" x14ac:dyDescent="0.2">
      <c r="A32" s="1">
        <v>45350</v>
      </c>
      <c r="B32" t="s">
        <v>19</v>
      </c>
      <c r="C32" t="s">
        <v>17</v>
      </c>
      <c r="D32" t="s">
        <v>12</v>
      </c>
      <c r="E32">
        <v>1841</v>
      </c>
      <c r="F32">
        <v>1.25</v>
      </c>
      <c r="G32">
        <v>1.05</v>
      </c>
      <c r="H32">
        <v>2301.25</v>
      </c>
      <c r="I32">
        <v>1933.05</v>
      </c>
      <c r="J32">
        <v>368.19999999999902</v>
      </c>
      <c r="K32">
        <f>Table1[[#This Row],[Liters_Sold]]</f>
        <v>1841</v>
      </c>
      <c r="L32">
        <f>Table1[[#This Row],[Delivery volume]]*0.05</f>
        <v>92.050000000000011</v>
      </c>
      <c r="M32" s="16">
        <f>Table1[[#This Row],[Delivery Cost]]/Table1[[#This Row],[Revenue]]</f>
        <v>4.0000000000000008E-2</v>
      </c>
      <c r="N32" t="str">
        <f t="shared" si="0"/>
        <v>Feb</v>
      </c>
    </row>
    <row r="33" spans="1:14" x14ac:dyDescent="0.2">
      <c r="A33" s="1">
        <v>45461</v>
      </c>
      <c r="B33" t="s">
        <v>32</v>
      </c>
      <c r="C33" t="s">
        <v>11</v>
      </c>
      <c r="D33" t="s">
        <v>18</v>
      </c>
      <c r="E33">
        <v>5276</v>
      </c>
      <c r="F33">
        <v>1.2</v>
      </c>
      <c r="G33">
        <v>1</v>
      </c>
      <c r="H33">
        <v>6331.2</v>
      </c>
      <c r="I33">
        <v>5276</v>
      </c>
      <c r="J33">
        <v>1055.19999999999</v>
      </c>
      <c r="K33">
        <f>Table1[[#This Row],[Liters_Sold]]</f>
        <v>5276</v>
      </c>
      <c r="L33">
        <f>Table1[[#This Row],[Delivery volume]]*0.05</f>
        <v>263.8</v>
      </c>
      <c r="M33" s="16">
        <f>Table1[[#This Row],[Delivery Cost]]/Table1[[#This Row],[Revenue]]</f>
        <v>4.1666666666666671E-2</v>
      </c>
      <c r="N33" t="str">
        <f t="shared" si="0"/>
        <v>Jun</v>
      </c>
    </row>
    <row r="34" spans="1:14" x14ac:dyDescent="0.2">
      <c r="A34" s="1">
        <v>45479</v>
      </c>
      <c r="B34" t="s">
        <v>10</v>
      </c>
      <c r="C34" t="s">
        <v>20</v>
      </c>
      <c r="D34" t="s">
        <v>18</v>
      </c>
      <c r="E34">
        <v>2488</v>
      </c>
      <c r="F34">
        <v>1.2</v>
      </c>
      <c r="G34">
        <v>1</v>
      </c>
      <c r="H34">
        <v>2985.6</v>
      </c>
      <c r="I34">
        <v>2488</v>
      </c>
      <c r="J34">
        <v>497.599999999999</v>
      </c>
      <c r="K34">
        <f>Table1[[#This Row],[Liters_Sold]]</f>
        <v>2488</v>
      </c>
      <c r="L34">
        <f>Table1[[#This Row],[Delivery volume]]*0.05</f>
        <v>124.4</v>
      </c>
      <c r="M34" s="16">
        <f>Table1[[#This Row],[Delivery Cost]]/Table1[[#This Row],[Revenue]]</f>
        <v>4.1666666666666671E-2</v>
      </c>
      <c r="N34" t="str">
        <f t="shared" si="0"/>
        <v>Jul</v>
      </c>
    </row>
    <row r="35" spans="1:14" x14ac:dyDescent="0.2">
      <c r="A35" s="1">
        <v>45562</v>
      </c>
      <c r="B35" t="s">
        <v>21</v>
      </c>
      <c r="C35" t="s">
        <v>11</v>
      </c>
      <c r="D35" t="s">
        <v>12</v>
      </c>
      <c r="E35">
        <v>4045</v>
      </c>
      <c r="F35">
        <v>1.25</v>
      </c>
      <c r="G35">
        <v>1.05</v>
      </c>
      <c r="H35">
        <v>5056.25</v>
      </c>
      <c r="I35">
        <v>4247.25</v>
      </c>
      <c r="J35">
        <v>809</v>
      </c>
      <c r="K35">
        <f>Table1[[#This Row],[Liters_Sold]]</f>
        <v>4045</v>
      </c>
      <c r="L35">
        <f>Table1[[#This Row],[Delivery volume]]*0.05</f>
        <v>202.25</v>
      </c>
      <c r="M35" s="16">
        <f>Table1[[#This Row],[Delivery Cost]]/Table1[[#This Row],[Revenue]]</f>
        <v>0.04</v>
      </c>
      <c r="N35" t="str">
        <f t="shared" si="0"/>
        <v>Sep</v>
      </c>
    </row>
    <row r="36" spans="1:14" x14ac:dyDescent="0.2">
      <c r="A36" s="1">
        <v>45481</v>
      </c>
      <c r="B36" t="s">
        <v>27</v>
      </c>
      <c r="C36" t="s">
        <v>20</v>
      </c>
      <c r="D36" t="s">
        <v>12</v>
      </c>
      <c r="E36">
        <v>5020</v>
      </c>
      <c r="F36">
        <v>1.25</v>
      </c>
      <c r="G36">
        <v>1.05</v>
      </c>
      <c r="H36">
        <v>6275</v>
      </c>
      <c r="I36">
        <v>5271</v>
      </c>
      <c r="J36">
        <v>1004</v>
      </c>
      <c r="K36">
        <f>Table1[[#This Row],[Liters_Sold]]</f>
        <v>5020</v>
      </c>
      <c r="L36">
        <f>Table1[[#This Row],[Delivery volume]]*0.05</f>
        <v>251</v>
      </c>
      <c r="M36" s="16">
        <f>Table1[[#This Row],[Delivery Cost]]/Table1[[#This Row],[Revenue]]</f>
        <v>0.04</v>
      </c>
      <c r="N36" t="str">
        <f t="shared" si="0"/>
        <v>Jul</v>
      </c>
    </row>
    <row r="37" spans="1:14" x14ac:dyDescent="0.2">
      <c r="A37" s="1">
        <v>45466</v>
      </c>
      <c r="B37" t="s">
        <v>32</v>
      </c>
      <c r="C37" t="s">
        <v>29</v>
      </c>
      <c r="D37" t="s">
        <v>12</v>
      </c>
      <c r="E37">
        <v>4302</v>
      </c>
      <c r="F37">
        <v>1.25</v>
      </c>
      <c r="G37">
        <v>1.05</v>
      </c>
      <c r="H37">
        <v>5377.5</v>
      </c>
      <c r="I37">
        <v>4517.1000000000004</v>
      </c>
      <c r="J37">
        <v>860.39999999999895</v>
      </c>
      <c r="K37">
        <f>Table1[[#This Row],[Liters_Sold]]</f>
        <v>4302</v>
      </c>
      <c r="L37">
        <f>Table1[[#This Row],[Delivery volume]]*0.05</f>
        <v>215.10000000000002</v>
      </c>
      <c r="M37" s="16">
        <f>Table1[[#This Row],[Delivery Cost]]/Table1[[#This Row],[Revenue]]</f>
        <v>0.04</v>
      </c>
      <c r="N37" t="str">
        <f t="shared" si="0"/>
        <v>Jun</v>
      </c>
    </row>
    <row r="38" spans="1:14" x14ac:dyDescent="0.2">
      <c r="A38" s="1">
        <v>45342</v>
      </c>
      <c r="B38" t="s">
        <v>30</v>
      </c>
      <c r="C38" t="s">
        <v>17</v>
      </c>
      <c r="D38" t="s">
        <v>12</v>
      </c>
      <c r="E38">
        <v>3775</v>
      </c>
      <c r="F38">
        <v>1.25</v>
      </c>
      <c r="G38">
        <v>1.05</v>
      </c>
      <c r="H38">
        <v>4718.75</v>
      </c>
      <c r="I38">
        <v>3963.75</v>
      </c>
      <c r="J38">
        <v>755</v>
      </c>
      <c r="K38">
        <f>Table1[[#This Row],[Liters_Sold]]</f>
        <v>3775</v>
      </c>
      <c r="L38">
        <f>Table1[[#This Row],[Delivery volume]]*0.05</f>
        <v>188.75</v>
      </c>
      <c r="M38" s="16">
        <f>Table1[[#This Row],[Delivery Cost]]/Table1[[#This Row],[Revenue]]</f>
        <v>0.04</v>
      </c>
      <c r="N38" t="str">
        <f t="shared" si="0"/>
        <v>Feb</v>
      </c>
    </row>
    <row r="39" spans="1:14" x14ac:dyDescent="0.2">
      <c r="A39" s="1">
        <v>45655</v>
      </c>
      <c r="B39" t="s">
        <v>30</v>
      </c>
      <c r="C39" t="s">
        <v>20</v>
      </c>
      <c r="D39" t="s">
        <v>14</v>
      </c>
      <c r="E39">
        <v>4154</v>
      </c>
      <c r="F39">
        <v>0.9</v>
      </c>
      <c r="G39">
        <v>0.7</v>
      </c>
      <c r="H39">
        <v>3738.6</v>
      </c>
      <c r="I39">
        <v>2907.7999999999902</v>
      </c>
      <c r="J39">
        <v>830.8</v>
      </c>
      <c r="K39">
        <f>Table1[[#This Row],[Liters_Sold]]</f>
        <v>4154</v>
      </c>
      <c r="L39">
        <f>Table1[[#This Row],[Delivery volume]]*0.05</f>
        <v>207.70000000000002</v>
      </c>
      <c r="M39" s="16">
        <f>Table1[[#This Row],[Delivery Cost]]/Table1[[#This Row],[Revenue]]</f>
        <v>5.5555555555555559E-2</v>
      </c>
      <c r="N39" t="str">
        <f t="shared" si="0"/>
        <v>Dec</v>
      </c>
    </row>
    <row r="40" spans="1:14" x14ac:dyDescent="0.2">
      <c r="A40" s="1">
        <v>45346</v>
      </c>
      <c r="B40" t="s">
        <v>24</v>
      </c>
      <c r="C40" t="s">
        <v>23</v>
      </c>
      <c r="D40" t="s">
        <v>18</v>
      </c>
      <c r="E40">
        <v>2934</v>
      </c>
      <c r="F40">
        <v>1.2</v>
      </c>
      <c r="G40">
        <v>1</v>
      </c>
      <c r="H40">
        <v>3520.7999999999902</v>
      </c>
      <c r="I40">
        <v>2934</v>
      </c>
      <c r="J40">
        <v>586.79999999999905</v>
      </c>
      <c r="K40">
        <f>Table1[[#This Row],[Liters_Sold]]</f>
        <v>2934</v>
      </c>
      <c r="L40">
        <f>Table1[[#This Row],[Delivery volume]]*0.05</f>
        <v>146.70000000000002</v>
      </c>
      <c r="M40" s="16">
        <f>Table1[[#This Row],[Delivery Cost]]/Table1[[#This Row],[Revenue]]</f>
        <v>4.1666666666666789E-2</v>
      </c>
      <c r="N40" t="str">
        <f t="shared" si="0"/>
        <v>Feb</v>
      </c>
    </row>
    <row r="41" spans="1:14" x14ac:dyDescent="0.2">
      <c r="A41" s="1">
        <v>45535</v>
      </c>
      <c r="B41" t="s">
        <v>32</v>
      </c>
      <c r="C41" t="s">
        <v>23</v>
      </c>
      <c r="D41" t="s">
        <v>18</v>
      </c>
      <c r="E41">
        <v>5373</v>
      </c>
      <c r="F41">
        <v>1.2</v>
      </c>
      <c r="G41">
        <v>1</v>
      </c>
      <c r="H41">
        <v>6447.5999999999904</v>
      </c>
      <c r="I41">
        <v>5373</v>
      </c>
      <c r="J41">
        <v>1074.5999999999899</v>
      </c>
      <c r="K41">
        <f>Table1[[#This Row],[Liters_Sold]]</f>
        <v>5373</v>
      </c>
      <c r="L41">
        <f>Table1[[#This Row],[Delivery volume]]*0.05</f>
        <v>268.65000000000003</v>
      </c>
      <c r="M41" s="16">
        <f>Table1[[#This Row],[Delivery Cost]]/Table1[[#This Row],[Revenue]]</f>
        <v>4.1666666666666734E-2</v>
      </c>
      <c r="N41" t="str">
        <f t="shared" si="0"/>
        <v>Aug</v>
      </c>
    </row>
    <row r="42" spans="1:14" x14ac:dyDescent="0.2">
      <c r="A42" s="1">
        <v>45611</v>
      </c>
      <c r="B42" t="s">
        <v>27</v>
      </c>
      <c r="C42" t="s">
        <v>20</v>
      </c>
      <c r="D42" t="s">
        <v>12</v>
      </c>
      <c r="E42">
        <v>707</v>
      </c>
      <c r="F42">
        <v>1.25</v>
      </c>
      <c r="G42">
        <v>1.05</v>
      </c>
      <c r="H42">
        <v>883.75</v>
      </c>
      <c r="I42">
        <v>742.35</v>
      </c>
      <c r="J42">
        <v>141.39999999999901</v>
      </c>
      <c r="K42">
        <f>Table1[[#This Row],[Liters_Sold]]</f>
        <v>707</v>
      </c>
      <c r="L42">
        <f>Table1[[#This Row],[Delivery volume]]*0.05</f>
        <v>35.35</v>
      </c>
      <c r="M42" s="16">
        <f>Table1[[#This Row],[Delivery Cost]]/Table1[[#This Row],[Revenue]]</f>
        <v>0.04</v>
      </c>
      <c r="N42" t="str">
        <f t="shared" si="0"/>
        <v>Nov</v>
      </c>
    </row>
    <row r="43" spans="1:14" x14ac:dyDescent="0.2">
      <c r="A43" s="1">
        <v>45422</v>
      </c>
      <c r="B43" t="s">
        <v>25</v>
      </c>
      <c r="C43" t="s">
        <v>20</v>
      </c>
      <c r="D43" t="s">
        <v>12</v>
      </c>
      <c r="E43">
        <v>3133</v>
      </c>
      <c r="F43">
        <v>1.25</v>
      </c>
      <c r="G43">
        <v>1.05</v>
      </c>
      <c r="H43">
        <v>3916.25</v>
      </c>
      <c r="I43">
        <v>3289.65</v>
      </c>
      <c r="J43">
        <v>626.599999999999</v>
      </c>
      <c r="K43">
        <f>Table1[[#This Row],[Liters_Sold]]</f>
        <v>3133</v>
      </c>
      <c r="L43">
        <f>Table1[[#This Row],[Delivery volume]]*0.05</f>
        <v>156.65</v>
      </c>
      <c r="M43" s="16">
        <f>Table1[[#This Row],[Delivery Cost]]/Table1[[#This Row],[Revenue]]</f>
        <v>0.04</v>
      </c>
      <c r="N43" t="str">
        <f t="shared" si="0"/>
        <v>May</v>
      </c>
    </row>
    <row r="44" spans="1:14" x14ac:dyDescent="0.2">
      <c r="A44" s="1">
        <v>45598</v>
      </c>
      <c r="B44" t="s">
        <v>16</v>
      </c>
      <c r="C44" t="s">
        <v>20</v>
      </c>
      <c r="D44" t="s">
        <v>18</v>
      </c>
      <c r="E44">
        <v>4617</v>
      </c>
      <c r="F44">
        <v>1.2</v>
      </c>
      <c r="G44">
        <v>1</v>
      </c>
      <c r="H44">
        <v>5540.4</v>
      </c>
      <c r="I44">
        <v>4617</v>
      </c>
      <c r="J44">
        <v>923.39999999999895</v>
      </c>
      <c r="K44">
        <f>Table1[[#This Row],[Liters_Sold]]</f>
        <v>4617</v>
      </c>
      <c r="L44">
        <f>Table1[[#This Row],[Delivery volume]]*0.05</f>
        <v>230.85000000000002</v>
      </c>
      <c r="M44" s="16">
        <f>Table1[[#This Row],[Delivery Cost]]/Table1[[#This Row],[Revenue]]</f>
        <v>4.1666666666666671E-2</v>
      </c>
      <c r="N44" t="str">
        <f t="shared" si="0"/>
        <v>Nov</v>
      </c>
    </row>
    <row r="45" spans="1:14" x14ac:dyDescent="0.2">
      <c r="A45" s="1">
        <v>45426</v>
      </c>
      <c r="B45" t="s">
        <v>31</v>
      </c>
      <c r="C45" t="s">
        <v>23</v>
      </c>
      <c r="D45" t="s">
        <v>18</v>
      </c>
      <c r="E45">
        <v>653</v>
      </c>
      <c r="F45">
        <v>1.2</v>
      </c>
      <c r="G45">
        <v>1</v>
      </c>
      <c r="H45">
        <v>783.6</v>
      </c>
      <c r="I45">
        <v>653</v>
      </c>
      <c r="J45">
        <v>130.6</v>
      </c>
      <c r="K45">
        <f>Table1[[#This Row],[Liters_Sold]]</f>
        <v>653</v>
      </c>
      <c r="L45">
        <f>Table1[[#This Row],[Delivery volume]]*0.05</f>
        <v>32.65</v>
      </c>
      <c r="M45" s="16">
        <f>Table1[[#This Row],[Delivery Cost]]/Table1[[#This Row],[Revenue]]</f>
        <v>4.1666666666666664E-2</v>
      </c>
      <c r="N45" t="str">
        <f t="shared" si="0"/>
        <v>May</v>
      </c>
    </row>
    <row r="46" spans="1:14" x14ac:dyDescent="0.2">
      <c r="A46" s="1">
        <v>45312</v>
      </c>
      <c r="B46" t="s">
        <v>24</v>
      </c>
      <c r="C46" t="s">
        <v>23</v>
      </c>
      <c r="D46" t="s">
        <v>12</v>
      </c>
      <c r="E46">
        <v>3866</v>
      </c>
      <c r="F46">
        <v>1.25</v>
      </c>
      <c r="G46">
        <v>1.05</v>
      </c>
      <c r="H46">
        <v>4832.5</v>
      </c>
      <c r="I46">
        <v>4059.3</v>
      </c>
      <c r="J46">
        <v>773.19999999999902</v>
      </c>
      <c r="K46">
        <f>Table1[[#This Row],[Liters_Sold]]</f>
        <v>3866</v>
      </c>
      <c r="L46">
        <f>Table1[[#This Row],[Delivery volume]]*0.05</f>
        <v>193.3</v>
      </c>
      <c r="M46" s="16">
        <f>Table1[[#This Row],[Delivery Cost]]/Table1[[#This Row],[Revenue]]</f>
        <v>0.04</v>
      </c>
      <c r="N46" t="str">
        <f t="shared" si="0"/>
        <v>Jan</v>
      </c>
    </row>
    <row r="47" spans="1:14" x14ac:dyDescent="0.2">
      <c r="A47" s="1">
        <v>45620</v>
      </c>
      <c r="B47" t="s">
        <v>30</v>
      </c>
      <c r="C47" t="s">
        <v>20</v>
      </c>
      <c r="D47" t="s">
        <v>18</v>
      </c>
      <c r="E47">
        <v>4814</v>
      </c>
      <c r="F47">
        <v>1.2</v>
      </c>
      <c r="G47">
        <v>1</v>
      </c>
      <c r="H47">
        <v>5776.8</v>
      </c>
      <c r="I47">
        <v>4814</v>
      </c>
      <c r="J47">
        <v>962.8</v>
      </c>
      <c r="K47">
        <f>Table1[[#This Row],[Liters_Sold]]</f>
        <v>4814</v>
      </c>
      <c r="L47">
        <f>Table1[[#This Row],[Delivery volume]]*0.05</f>
        <v>240.70000000000002</v>
      </c>
      <c r="M47" s="16">
        <f>Table1[[#This Row],[Delivery Cost]]/Table1[[#This Row],[Revenue]]</f>
        <v>4.1666666666666671E-2</v>
      </c>
      <c r="N47" t="str">
        <f t="shared" si="0"/>
        <v>Nov</v>
      </c>
    </row>
    <row r="48" spans="1:14" x14ac:dyDescent="0.2">
      <c r="A48" s="1">
        <v>45458</v>
      </c>
      <c r="B48" t="s">
        <v>19</v>
      </c>
      <c r="C48" t="s">
        <v>11</v>
      </c>
      <c r="D48" t="s">
        <v>18</v>
      </c>
      <c r="E48">
        <v>5264</v>
      </c>
      <c r="F48">
        <v>1.2</v>
      </c>
      <c r="G48">
        <v>1</v>
      </c>
      <c r="H48">
        <v>6316.8</v>
      </c>
      <c r="I48">
        <v>5264</v>
      </c>
      <c r="J48">
        <v>1052.8</v>
      </c>
      <c r="K48">
        <f>Table1[[#This Row],[Liters_Sold]]</f>
        <v>5264</v>
      </c>
      <c r="L48">
        <f>Table1[[#This Row],[Delivery volume]]*0.05</f>
        <v>263.2</v>
      </c>
      <c r="M48" s="16">
        <f>Table1[[#This Row],[Delivery Cost]]/Table1[[#This Row],[Revenue]]</f>
        <v>4.1666666666666664E-2</v>
      </c>
      <c r="N48" t="str">
        <f t="shared" si="0"/>
        <v>Jun</v>
      </c>
    </row>
    <row r="49" spans="1:14" x14ac:dyDescent="0.2">
      <c r="A49" s="1">
        <v>45565</v>
      </c>
      <c r="B49" t="s">
        <v>19</v>
      </c>
      <c r="C49" t="s">
        <v>11</v>
      </c>
      <c r="D49" t="s">
        <v>12</v>
      </c>
      <c r="E49">
        <v>2018</v>
      </c>
      <c r="F49">
        <v>1.25</v>
      </c>
      <c r="G49">
        <v>1.05</v>
      </c>
      <c r="H49">
        <v>2522.5</v>
      </c>
      <c r="I49">
        <v>2118.9</v>
      </c>
      <c r="J49">
        <v>403.599999999999</v>
      </c>
      <c r="K49">
        <f>Table1[[#This Row],[Liters_Sold]]</f>
        <v>2018</v>
      </c>
      <c r="L49">
        <f>Table1[[#This Row],[Delivery volume]]*0.05</f>
        <v>100.9</v>
      </c>
      <c r="M49" s="16">
        <f>Table1[[#This Row],[Delivery Cost]]/Table1[[#This Row],[Revenue]]</f>
        <v>0.04</v>
      </c>
      <c r="N49" t="str">
        <f t="shared" si="0"/>
        <v>Sep</v>
      </c>
    </row>
    <row r="50" spans="1:14" x14ac:dyDescent="0.2">
      <c r="A50" s="1">
        <v>45380</v>
      </c>
      <c r="B50" t="s">
        <v>21</v>
      </c>
      <c r="C50" t="s">
        <v>29</v>
      </c>
      <c r="D50" t="s">
        <v>12</v>
      </c>
      <c r="E50">
        <v>3100</v>
      </c>
      <c r="F50">
        <v>1.25</v>
      </c>
      <c r="G50">
        <v>1.05</v>
      </c>
      <c r="H50">
        <v>3875</v>
      </c>
      <c r="I50">
        <v>3255</v>
      </c>
      <c r="J50">
        <v>620</v>
      </c>
      <c r="K50">
        <f>Table1[[#This Row],[Liters_Sold]]</f>
        <v>3100</v>
      </c>
      <c r="L50">
        <f>Table1[[#This Row],[Delivery volume]]*0.05</f>
        <v>155</v>
      </c>
      <c r="M50" s="16">
        <f>Table1[[#This Row],[Delivery Cost]]/Table1[[#This Row],[Revenue]]</f>
        <v>0.04</v>
      </c>
      <c r="N50" t="str">
        <f t="shared" si="0"/>
        <v>Mar</v>
      </c>
    </row>
    <row r="51" spans="1:14" x14ac:dyDescent="0.2">
      <c r="A51" s="1">
        <v>45607</v>
      </c>
      <c r="B51" t="s">
        <v>25</v>
      </c>
      <c r="C51" t="s">
        <v>17</v>
      </c>
      <c r="D51" t="s">
        <v>18</v>
      </c>
      <c r="E51">
        <v>5545</v>
      </c>
      <c r="F51">
        <v>1.2</v>
      </c>
      <c r="G51">
        <v>1</v>
      </c>
      <c r="H51">
        <v>6654</v>
      </c>
      <c r="I51">
        <v>5545</v>
      </c>
      <c r="J51">
        <v>1109</v>
      </c>
      <c r="K51">
        <f>Table1[[#This Row],[Liters_Sold]]</f>
        <v>5545</v>
      </c>
      <c r="L51">
        <f>Table1[[#This Row],[Delivery volume]]*0.05</f>
        <v>277.25</v>
      </c>
      <c r="M51" s="16">
        <f>Table1[[#This Row],[Delivery Cost]]/Table1[[#This Row],[Revenue]]</f>
        <v>4.1666666666666664E-2</v>
      </c>
      <c r="N51" t="str">
        <f t="shared" si="0"/>
        <v>Nov</v>
      </c>
    </row>
    <row r="52" spans="1:14" x14ac:dyDescent="0.2">
      <c r="A52" s="1">
        <v>45305</v>
      </c>
      <c r="B52" t="s">
        <v>22</v>
      </c>
      <c r="C52" t="s">
        <v>11</v>
      </c>
      <c r="D52" t="s">
        <v>12</v>
      </c>
      <c r="E52">
        <v>2695</v>
      </c>
      <c r="F52">
        <v>1.25</v>
      </c>
      <c r="G52">
        <v>1.05</v>
      </c>
      <c r="H52">
        <v>3368.75</v>
      </c>
      <c r="I52">
        <v>2829.75</v>
      </c>
      <c r="J52">
        <v>539</v>
      </c>
      <c r="K52">
        <f>Table1[[#This Row],[Liters_Sold]]</f>
        <v>2695</v>
      </c>
      <c r="L52">
        <f>Table1[[#This Row],[Delivery volume]]*0.05</f>
        <v>134.75</v>
      </c>
      <c r="M52" s="16">
        <f>Table1[[#This Row],[Delivery Cost]]/Table1[[#This Row],[Revenue]]</f>
        <v>0.04</v>
      </c>
      <c r="N52" t="str">
        <f t="shared" si="0"/>
        <v>Jan</v>
      </c>
    </row>
    <row r="53" spans="1:14" x14ac:dyDescent="0.2">
      <c r="A53" s="1">
        <v>45533</v>
      </c>
      <c r="B53" t="s">
        <v>30</v>
      </c>
      <c r="C53" t="s">
        <v>23</v>
      </c>
      <c r="D53" t="s">
        <v>12</v>
      </c>
      <c r="E53">
        <v>4998</v>
      </c>
      <c r="F53">
        <v>1.25</v>
      </c>
      <c r="G53">
        <v>1.05</v>
      </c>
      <c r="H53">
        <v>6247.5</v>
      </c>
      <c r="I53">
        <v>5247.9</v>
      </c>
      <c r="J53">
        <v>999.599999999999</v>
      </c>
      <c r="K53">
        <f>Table1[[#This Row],[Liters_Sold]]</f>
        <v>4998</v>
      </c>
      <c r="L53">
        <f>Table1[[#This Row],[Delivery volume]]*0.05</f>
        <v>249.9</v>
      </c>
      <c r="M53" s="16">
        <f>Table1[[#This Row],[Delivery Cost]]/Table1[[#This Row],[Revenue]]</f>
        <v>0.04</v>
      </c>
      <c r="N53" t="str">
        <f t="shared" si="0"/>
        <v>Aug</v>
      </c>
    </row>
    <row r="54" spans="1:14" x14ac:dyDescent="0.2">
      <c r="A54" s="1">
        <v>45556</v>
      </c>
      <c r="B54" t="s">
        <v>15</v>
      </c>
      <c r="C54" t="s">
        <v>11</v>
      </c>
      <c r="D54" t="s">
        <v>12</v>
      </c>
      <c r="E54">
        <v>5191</v>
      </c>
      <c r="F54">
        <v>1.25</v>
      </c>
      <c r="G54">
        <v>1.05</v>
      </c>
      <c r="H54">
        <v>6488.75</v>
      </c>
      <c r="I54">
        <v>5450.55</v>
      </c>
      <c r="J54">
        <v>1038.19999999999</v>
      </c>
      <c r="K54">
        <f>Table1[[#This Row],[Liters_Sold]]</f>
        <v>5191</v>
      </c>
      <c r="L54">
        <f>Table1[[#This Row],[Delivery volume]]*0.05</f>
        <v>259.55</v>
      </c>
      <c r="M54" s="16">
        <f>Table1[[#This Row],[Delivery Cost]]/Table1[[#This Row],[Revenue]]</f>
        <v>0.04</v>
      </c>
      <c r="N54" t="str">
        <f t="shared" si="0"/>
        <v>Sep</v>
      </c>
    </row>
    <row r="55" spans="1:14" x14ac:dyDescent="0.2">
      <c r="A55" s="1">
        <v>45637</v>
      </c>
      <c r="B55" t="s">
        <v>25</v>
      </c>
      <c r="C55" t="s">
        <v>29</v>
      </c>
      <c r="D55" t="s">
        <v>12</v>
      </c>
      <c r="E55">
        <v>4054</v>
      </c>
      <c r="F55">
        <v>1.25</v>
      </c>
      <c r="G55">
        <v>1.05</v>
      </c>
      <c r="H55">
        <v>5067.5</v>
      </c>
      <c r="I55">
        <v>4256.7</v>
      </c>
      <c r="J55">
        <v>810.8</v>
      </c>
      <c r="K55">
        <f>Table1[[#This Row],[Liters_Sold]]</f>
        <v>4054</v>
      </c>
      <c r="L55">
        <f>Table1[[#This Row],[Delivery volume]]*0.05</f>
        <v>202.70000000000002</v>
      </c>
      <c r="M55" s="16">
        <f>Table1[[#This Row],[Delivery Cost]]/Table1[[#This Row],[Revenue]]</f>
        <v>0.04</v>
      </c>
      <c r="N55" t="str">
        <f t="shared" si="0"/>
        <v>Dec</v>
      </c>
    </row>
    <row r="56" spans="1:14" x14ac:dyDescent="0.2">
      <c r="A56" s="1">
        <v>45344</v>
      </c>
      <c r="B56" t="s">
        <v>16</v>
      </c>
      <c r="C56" t="s">
        <v>29</v>
      </c>
      <c r="D56" t="s">
        <v>18</v>
      </c>
      <c r="E56">
        <v>2914</v>
      </c>
      <c r="F56">
        <v>1.2</v>
      </c>
      <c r="G56">
        <v>1</v>
      </c>
      <c r="H56">
        <v>3496.7999999999902</v>
      </c>
      <c r="I56">
        <v>2914</v>
      </c>
      <c r="J56">
        <v>582.79999999999905</v>
      </c>
      <c r="K56">
        <f>Table1[[#This Row],[Liters_Sold]]</f>
        <v>2914</v>
      </c>
      <c r="L56">
        <f>Table1[[#This Row],[Delivery volume]]*0.05</f>
        <v>145.70000000000002</v>
      </c>
      <c r="M56" s="16">
        <f>Table1[[#This Row],[Delivery Cost]]/Table1[[#This Row],[Revenue]]</f>
        <v>4.1666666666666789E-2</v>
      </c>
      <c r="N56" t="str">
        <f t="shared" si="0"/>
        <v>Feb</v>
      </c>
    </row>
    <row r="57" spans="1:14" x14ac:dyDescent="0.2">
      <c r="A57" s="1">
        <v>45631</v>
      </c>
      <c r="B57" t="s">
        <v>31</v>
      </c>
      <c r="C57" t="s">
        <v>17</v>
      </c>
      <c r="D57" t="s">
        <v>18</v>
      </c>
      <c r="E57">
        <v>3349</v>
      </c>
      <c r="F57">
        <v>1.2</v>
      </c>
      <c r="G57">
        <v>1</v>
      </c>
      <c r="H57">
        <v>4018.7999999999902</v>
      </c>
      <c r="I57">
        <v>3349</v>
      </c>
      <c r="J57">
        <v>669.79999999999905</v>
      </c>
      <c r="K57">
        <f>Table1[[#This Row],[Liters_Sold]]</f>
        <v>3349</v>
      </c>
      <c r="L57">
        <f>Table1[[#This Row],[Delivery volume]]*0.05</f>
        <v>167.45000000000002</v>
      </c>
      <c r="M57" s="16">
        <f>Table1[[#This Row],[Delivery Cost]]/Table1[[#This Row],[Revenue]]</f>
        <v>4.1666666666666775E-2</v>
      </c>
      <c r="N57" t="str">
        <f t="shared" si="0"/>
        <v>Dec</v>
      </c>
    </row>
    <row r="58" spans="1:14" x14ac:dyDescent="0.2">
      <c r="A58" s="1">
        <v>45383</v>
      </c>
      <c r="B58" t="s">
        <v>27</v>
      </c>
      <c r="C58" t="s">
        <v>11</v>
      </c>
      <c r="D58" t="s">
        <v>12</v>
      </c>
      <c r="E58">
        <v>5753</v>
      </c>
      <c r="F58">
        <v>1.25</v>
      </c>
      <c r="G58">
        <v>1.05</v>
      </c>
      <c r="H58">
        <v>7191.25</v>
      </c>
      <c r="I58">
        <v>6040.65</v>
      </c>
      <c r="J58">
        <v>1150.5999999999899</v>
      </c>
      <c r="K58">
        <f>Table1[[#This Row],[Liters_Sold]]</f>
        <v>5753</v>
      </c>
      <c r="L58">
        <f>Table1[[#This Row],[Delivery volume]]*0.05</f>
        <v>287.65000000000003</v>
      </c>
      <c r="M58" s="16">
        <f>Table1[[#This Row],[Delivery Cost]]/Table1[[#This Row],[Revenue]]</f>
        <v>4.0000000000000008E-2</v>
      </c>
      <c r="N58" t="str">
        <f t="shared" si="0"/>
        <v>Apr</v>
      </c>
    </row>
    <row r="59" spans="1:14" x14ac:dyDescent="0.2">
      <c r="A59" s="1">
        <v>45555</v>
      </c>
      <c r="B59" t="s">
        <v>32</v>
      </c>
      <c r="C59" t="s">
        <v>23</v>
      </c>
      <c r="D59" t="s">
        <v>14</v>
      </c>
      <c r="E59">
        <v>2242</v>
      </c>
      <c r="F59">
        <v>0.9</v>
      </c>
      <c r="G59">
        <v>0.7</v>
      </c>
      <c r="H59">
        <v>2017.8</v>
      </c>
      <c r="I59">
        <v>1569.3999999999901</v>
      </c>
      <c r="J59">
        <v>448.4</v>
      </c>
      <c r="K59">
        <f>Table1[[#This Row],[Liters_Sold]]</f>
        <v>2242</v>
      </c>
      <c r="L59">
        <f>Table1[[#This Row],[Delivery volume]]*0.05</f>
        <v>112.10000000000001</v>
      </c>
      <c r="M59" s="16">
        <f>Table1[[#This Row],[Delivery Cost]]/Table1[[#This Row],[Revenue]]</f>
        <v>5.5555555555555559E-2</v>
      </c>
      <c r="N59" t="str">
        <f t="shared" si="0"/>
        <v>Sep</v>
      </c>
    </row>
    <row r="60" spans="1:14" x14ac:dyDescent="0.2">
      <c r="A60" s="1">
        <v>45326</v>
      </c>
      <c r="B60" t="s">
        <v>30</v>
      </c>
      <c r="C60" t="s">
        <v>23</v>
      </c>
      <c r="D60" t="s">
        <v>14</v>
      </c>
      <c r="E60">
        <v>1806</v>
      </c>
      <c r="F60">
        <v>0.9</v>
      </c>
      <c r="G60">
        <v>0.7</v>
      </c>
      <c r="H60">
        <v>1625.4</v>
      </c>
      <c r="I60">
        <v>1264.19999999999</v>
      </c>
      <c r="J60">
        <v>361.2</v>
      </c>
      <c r="K60">
        <f>Table1[[#This Row],[Liters_Sold]]</f>
        <v>1806</v>
      </c>
      <c r="L60">
        <f>Table1[[#This Row],[Delivery volume]]*0.05</f>
        <v>90.300000000000011</v>
      </c>
      <c r="M60" s="16">
        <f>Table1[[#This Row],[Delivery Cost]]/Table1[[#This Row],[Revenue]]</f>
        <v>5.5555555555555559E-2</v>
      </c>
      <c r="N60" t="str">
        <f t="shared" si="0"/>
        <v>Feb</v>
      </c>
    </row>
    <row r="61" spans="1:14" x14ac:dyDescent="0.2">
      <c r="A61" s="1">
        <v>45497</v>
      </c>
      <c r="B61" t="s">
        <v>32</v>
      </c>
      <c r="C61" t="s">
        <v>20</v>
      </c>
      <c r="D61" t="s">
        <v>14</v>
      </c>
      <c r="E61">
        <v>4349</v>
      </c>
      <c r="F61">
        <v>0.9</v>
      </c>
      <c r="G61">
        <v>0.7</v>
      </c>
      <c r="H61">
        <v>3914.1</v>
      </c>
      <c r="I61">
        <v>3044.2999999999902</v>
      </c>
      <c r="J61">
        <v>869.8</v>
      </c>
      <c r="K61">
        <f>Table1[[#This Row],[Liters_Sold]]</f>
        <v>4349</v>
      </c>
      <c r="L61">
        <f>Table1[[#This Row],[Delivery volume]]*0.05</f>
        <v>217.45000000000002</v>
      </c>
      <c r="M61" s="16">
        <f>Table1[[#This Row],[Delivery Cost]]/Table1[[#This Row],[Revenue]]</f>
        <v>5.5555555555555559E-2</v>
      </c>
      <c r="N61" t="str">
        <f t="shared" si="0"/>
        <v>Jul</v>
      </c>
    </row>
    <row r="62" spans="1:14" x14ac:dyDescent="0.2">
      <c r="A62" s="1">
        <v>45372</v>
      </c>
      <c r="B62" t="s">
        <v>19</v>
      </c>
      <c r="C62" t="s">
        <v>23</v>
      </c>
      <c r="D62" t="s">
        <v>12</v>
      </c>
      <c r="E62">
        <v>4668</v>
      </c>
      <c r="F62">
        <v>1.25</v>
      </c>
      <c r="G62">
        <v>1.05</v>
      </c>
      <c r="H62">
        <v>5835</v>
      </c>
      <c r="I62">
        <v>4901.3999999999996</v>
      </c>
      <c r="J62">
        <v>933.599999999999</v>
      </c>
      <c r="K62">
        <f>Table1[[#This Row],[Liters_Sold]]</f>
        <v>4668</v>
      </c>
      <c r="L62">
        <f>Table1[[#This Row],[Delivery volume]]*0.05</f>
        <v>233.4</v>
      </c>
      <c r="M62" s="16">
        <f>Table1[[#This Row],[Delivery Cost]]/Table1[[#This Row],[Revenue]]</f>
        <v>0.04</v>
      </c>
      <c r="N62" t="str">
        <f t="shared" si="0"/>
        <v>Mar</v>
      </c>
    </row>
    <row r="63" spans="1:14" x14ac:dyDescent="0.2">
      <c r="A63" s="1">
        <v>45341</v>
      </c>
      <c r="B63" t="s">
        <v>27</v>
      </c>
      <c r="C63" t="s">
        <v>17</v>
      </c>
      <c r="D63" t="s">
        <v>12</v>
      </c>
      <c r="E63">
        <v>5076</v>
      </c>
      <c r="F63">
        <v>1.25</v>
      </c>
      <c r="G63">
        <v>1.05</v>
      </c>
      <c r="H63">
        <v>6345</v>
      </c>
      <c r="I63">
        <v>5329.8</v>
      </c>
      <c r="J63">
        <v>1015.19999999999</v>
      </c>
      <c r="K63">
        <f>Table1[[#This Row],[Liters_Sold]]</f>
        <v>5076</v>
      </c>
      <c r="L63">
        <f>Table1[[#This Row],[Delivery volume]]*0.05</f>
        <v>253.8</v>
      </c>
      <c r="M63" s="16">
        <f>Table1[[#This Row],[Delivery Cost]]/Table1[[#This Row],[Revenue]]</f>
        <v>0.04</v>
      </c>
      <c r="N63" t="str">
        <f t="shared" si="0"/>
        <v>Feb</v>
      </c>
    </row>
    <row r="64" spans="1:14" x14ac:dyDescent="0.2">
      <c r="A64" s="1">
        <v>45651</v>
      </c>
      <c r="B64" t="s">
        <v>27</v>
      </c>
      <c r="C64" t="s">
        <v>17</v>
      </c>
      <c r="D64" t="s">
        <v>14</v>
      </c>
      <c r="E64">
        <v>5155</v>
      </c>
      <c r="F64">
        <v>0.9</v>
      </c>
      <c r="G64">
        <v>0.7</v>
      </c>
      <c r="H64">
        <v>4639.5</v>
      </c>
      <c r="I64">
        <v>3608.49999999999</v>
      </c>
      <c r="J64">
        <v>1031</v>
      </c>
      <c r="K64">
        <f>Table1[[#This Row],[Liters_Sold]]</f>
        <v>5155</v>
      </c>
      <c r="L64">
        <f>Table1[[#This Row],[Delivery volume]]*0.05</f>
        <v>257.75</v>
      </c>
      <c r="M64" s="16">
        <f>Table1[[#This Row],[Delivery Cost]]/Table1[[#This Row],[Revenue]]</f>
        <v>5.5555555555555552E-2</v>
      </c>
      <c r="N64" t="str">
        <f t="shared" si="0"/>
        <v>Dec</v>
      </c>
    </row>
    <row r="65" spans="1:14" x14ac:dyDescent="0.2">
      <c r="A65" s="1">
        <v>45293</v>
      </c>
      <c r="B65" t="s">
        <v>27</v>
      </c>
      <c r="C65" t="s">
        <v>23</v>
      </c>
      <c r="D65" t="s">
        <v>18</v>
      </c>
      <c r="E65">
        <v>5340</v>
      </c>
      <c r="F65">
        <v>1.2</v>
      </c>
      <c r="G65">
        <v>1</v>
      </c>
      <c r="H65">
        <v>6408</v>
      </c>
      <c r="I65">
        <v>5340</v>
      </c>
      <c r="J65">
        <v>1068</v>
      </c>
      <c r="K65">
        <f>Table1[[#This Row],[Liters_Sold]]</f>
        <v>5340</v>
      </c>
      <c r="L65">
        <f>Table1[[#This Row],[Delivery volume]]*0.05</f>
        <v>267</v>
      </c>
      <c r="M65" s="16">
        <f>Table1[[#This Row],[Delivery Cost]]/Table1[[#This Row],[Revenue]]</f>
        <v>4.1666666666666664E-2</v>
      </c>
      <c r="N65" t="str">
        <f t="shared" si="0"/>
        <v>Jan</v>
      </c>
    </row>
    <row r="66" spans="1:14" x14ac:dyDescent="0.2">
      <c r="A66" s="1">
        <v>45345</v>
      </c>
      <c r="B66" t="s">
        <v>19</v>
      </c>
      <c r="C66" t="s">
        <v>23</v>
      </c>
      <c r="D66" t="s">
        <v>12</v>
      </c>
      <c r="E66">
        <v>4695</v>
      </c>
      <c r="F66">
        <v>1.25</v>
      </c>
      <c r="G66">
        <v>1.05</v>
      </c>
      <c r="H66">
        <v>5868.75</v>
      </c>
      <c r="I66">
        <v>4929.75</v>
      </c>
      <c r="J66">
        <v>939</v>
      </c>
      <c r="K66">
        <f>Table1[[#This Row],[Liters_Sold]]</f>
        <v>4695</v>
      </c>
      <c r="L66">
        <f>Table1[[#This Row],[Delivery volume]]*0.05</f>
        <v>234.75</v>
      </c>
      <c r="M66" s="16">
        <f>Table1[[#This Row],[Delivery Cost]]/Table1[[#This Row],[Revenue]]</f>
        <v>0.04</v>
      </c>
      <c r="N66" t="str">
        <f t="shared" ref="N66:N129" si="1">TEXT(A66,"mmm")</f>
        <v>Feb</v>
      </c>
    </row>
    <row r="67" spans="1:14" x14ac:dyDescent="0.2">
      <c r="A67" s="1">
        <v>45397</v>
      </c>
      <c r="B67" t="s">
        <v>16</v>
      </c>
      <c r="C67" t="s">
        <v>20</v>
      </c>
      <c r="D67" t="s">
        <v>12</v>
      </c>
      <c r="E67">
        <v>5678</v>
      </c>
      <c r="F67">
        <v>1.25</v>
      </c>
      <c r="G67">
        <v>1.05</v>
      </c>
      <c r="H67">
        <v>7097.5</v>
      </c>
      <c r="I67">
        <v>5961.9</v>
      </c>
      <c r="J67">
        <v>1135.5999999999899</v>
      </c>
      <c r="K67">
        <f>Table1[[#This Row],[Liters_Sold]]</f>
        <v>5678</v>
      </c>
      <c r="L67">
        <f>Table1[[#This Row],[Delivery volume]]*0.05</f>
        <v>283.90000000000003</v>
      </c>
      <c r="M67" s="16">
        <f>Table1[[#This Row],[Delivery Cost]]/Table1[[#This Row],[Revenue]]</f>
        <v>4.0000000000000008E-2</v>
      </c>
      <c r="N67" t="str">
        <f t="shared" si="1"/>
        <v>Apr</v>
      </c>
    </row>
    <row r="68" spans="1:14" x14ac:dyDescent="0.2">
      <c r="A68" s="1">
        <v>45551</v>
      </c>
      <c r="B68" t="s">
        <v>32</v>
      </c>
      <c r="C68" t="s">
        <v>23</v>
      </c>
      <c r="D68" t="s">
        <v>12</v>
      </c>
      <c r="E68">
        <v>3055</v>
      </c>
      <c r="F68">
        <v>1.25</v>
      </c>
      <c r="G68">
        <v>1.05</v>
      </c>
      <c r="H68">
        <v>3818.75</v>
      </c>
      <c r="I68">
        <v>3207.75</v>
      </c>
      <c r="J68">
        <v>611</v>
      </c>
      <c r="K68">
        <f>Table1[[#This Row],[Liters_Sold]]</f>
        <v>3055</v>
      </c>
      <c r="L68">
        <f>Table1[[#This Row],[Delivery volume]]*0.05</f>
        <v>152.75</v>
      </c>
      <c r="M68" s="16">
        <f>Table1[[#This Row],[Delivery Cost]]/Table1[[#This Row],[Revenue]]</f>
        <v>0.04</v>
      </c>
      <c r="N68" t="str">
        <f t="shared" si="1"/>
        <v>Sep</v>
      </c>
    </row>
    <row r="69" spans="1:14" x14ac:dyDescent="0.2">
      <c r="A69" s="1">
        <v>45601</v>
      </c>
      <c r="B69" t="s">
        <v>26</v>
      </c>
      <c r="C69" t="s">
        <v>20</v>
      </c>
      <c r="D69" t="s">
        <v>14</v>
      </c>
      <c r="E69">
        <v>2805</v>
      </c>
      <c r="F69">
        <v>0.9</v>
      </c>
      <c r="G69">
        <v>0.7</v>
      </c>
      <c r="H69">
        <v>2524.5</v>
      </c>
      <c r="I69">
        <v>1963.49999999999</v>
      </c>
      <c r="J69">
        <v>561</v>
      </c>
      <c r="K69">
        <f>Table1[[#This Row],[Liters_Sold]]</f>
        <v>2805</v>
      </c>
      <c r="L69">
        <f>Table1[[#This Row],[Delivery volume]]*0.05</f>
        <v>140.25</v>
      </c>
      <c r="M69" s="16">
        <f>Table1[[#This Row],[Delivery Cost]]/Table1[[#This Row],[Revenue]]</f>
        <v>5.5555555555555552E-2</v>
      </c>
      <c r="N69" t="str">
        <f t="shared" si="1"/>
        <v>Nov</v>
      </c>
    </row>
    <row r="70" spans="1:14" x14ac:dyDescent="0.2">
      <c r="A70" s="1">
        <v>45482</v>
      </c>
      <c r="B70" t="s">
        <v>32</v>
      </c>
      <c r="C70" t="s">
        <v>20</v>
      </c>
      <c r="D70" t="s">
        <v>18</v>
      </c>
      <c r="E70">
        <v>5008</v>
      </c>
      <c r="F70">
        <v>1.2</v>
      </c>
      <c r="G70">
        <v>1</v>
      </c>
      <c r="H70">
        <v>6009.5999999999904</v>
      </c>
      <c r="I70">
        <v>5008</v>
      </c>
      <c r="J70">
        <v>1001.59999999999</v>
      </c>
      <c r="K70">
        <f>Table1[[#This Row],[Liters_Sold]]</f>
        <v>5008</v>
      </c>
      <c r="L70">
        <f>Table1[[#This Row],[Delivery volume]]*0.05</f>
        <v>250.4</v>
      </c>
      <c r="M70" s="16">
        <f>Table1[[#This Row],[Delivery Cost]]/Table1[[#This Row],[Revenue]]</f>
        <v>4.1666666666666734E-2</v>
      </c>
      <c r="N70" t="str">
        <f t="shared" si="1"/>
        <v>Jul</v>
      </c>
    </row>
    <row r="71" spans="1:14" x14ac:dyDescent="0.2">
      <c r="A71" s="1">
        <v>45509</v>
      </c>
      <c r="B71" t="s">
        <v>13</v>
      </c>
      <c r="C71" t="s">
        <v>23</v>
      </c>
      <c r="D71" t="s">
        <v>12</v>
      </c>
      <c r="E71">
        <v>1588</v>
      </c>
      <c r="F71">
        <v>1.25</v>
      </c>
      <c r="G71">
        <v>1.05</v>
      </c>
      <c r="H71">
        <v>1985</v>
      </c>
      <c r="I71">
        <v>1667.4</v>
      </c>
      <c r="J71">
        <v>317.599999999999</v>
      </c>
      <c r="K71">
        <f>Table1[[#This Row],[Liters_Sold]]</f>
        <v>1588</v>
      </c>
      <c r="L71">
        <f>Table1[[#This Row],[Delivery volume]]*0.05</f>
        <v>79.400000000000006</v>
      </c>
      <c r="M71" s="16">
        <f>Table1[[#This Row],[Delivery Cost]]/Table1[[#This Row],[Revenue]]</f>
        <v>0.04</v>
      </c>
      <c r="N71" t="str">
        <f t="shared" si="1"/>
        <v>Aug</v>
      </c>
    </row>
    <row r="72" spans="1:14" x14ac:dyDescent="0.2">
      <c r="A72" s="1">
        <v>45335</v>
      </c>
      <c r="B72" t="s">
        <v>31</v>
      </c>
      <c r="C72" t="s">
        <v>29</v>
      </c>
      <c r="D72" t="s">
        <v>12</v>
      </c>
      <c r="E72">
        <v>3142</v>
      </c>
      <c r="F72">
        <v>1.25</v>
      </c>
      <c r="G72">
        <v>1.05</v>
      </c>
      <c r="H72">
        <v>3927.5</v>
      </c>
      <c r="I72">
        <v>3299.1</v>
      </c>
      <c r="J72">
        <v>628.39999999999895</v>
      </c>
      <c r="K72">
        <f>Table1[[#This Row],[Liters_Sold]]</f>
        <v>3142</v>
      </c>
      <c r="L72">
        <f>Table1[[#This Row],[Delivery volume]]*0.05</f>
        <v>157.10000000000002</v>
      </c>
      <c r="M72" s="16">
        <f>Table1[[#This Row],[Delivery Cost]]/Table1[[#This Row],[Revenue]]</f>
        <v>4.0000000000000008E-2</v>
      </c>
      <c r="N72" t="str">
        <f t="shared" si="1"/>
        <v>Feb</v>
      </c>
    </row>
    <row r="73" spans="1:14" x14ac:dyDescent="0.2">
      <c r="A73" s="1">
        <v>45453</v>
      </c>
      <c r="B73" t="s">
        <v>15</v>
      </c>
      <c r="C73" t="s">
        <v>29</v>
      </c>
      <c r="D73" t="s">
        <v>18</v>
      </c>
      <c r="E73">
        <v>1677</v>
      </c>
      <c r="F73">
        <v>1.2</v>
      </c>
      <c r="G73">
        <v>1</v>
      </c>
      <c r="H73">
        <v>2012.3999999999901</v>
      </c>
      <c r="I73">
        <v>1677</v>
      </c>
      <c r="J73">
        <v>335.39999999999901</v>
      </c>
      <c r="K73">
        <f>Table1[[#This Row],[Liters_Sold]]</f>
        <v>1677</v>
      </c>
      <c r="L73">
        <f>Table1[[#This Row],[Delivery volume]]*0.05</f>
        <v>83.850000000000009</v>
      </c>
      <c r="M73" s="16">
        <f>Table1[[#This Row],[Delivery Cost]]/Table1[[#This Row],[Revenue]]</f>
        <v>4.1666666666666879E-2</v>
      </c>
      <c r="N73" t="str">
        <f t="shared" si="1"/>
        <v>Jun</v>
      </c>
    </row>
    <row r="74" spans="1:14" x14ac:dyDescent="0.2">
      <c r="A74" s="1">
        <v>45493</v>
      </c>
      <c r="B74" t="s">
        <v>26</v>
      </c>
      <c r="C74" t="s">
        <v>20</v>
      </c>
      <c r="D74" t="s">
        <v>18</v>
      </c>
      <c r="E74">
        <v>5416</v>
      </c>
      <c r="F74">
        <v>1.2</v>
      </c>
      <c r="G74">
        <v>1</v>
      </c>
      <c r="H74">
        <v>6499.2</v>
      </c>
      <c r="I74">
        <v>5416</v>
      </c>
      <c r="J74">
        <v>1083.19999999999</v>
      </c>
      <c r="K74">
        <f>Table1[[#This Row],[Liters_Sold]]</f>
        <v>5416</v>
      </c>
      <c r="L74">
        <f>Table1[[#This Row],[Delivery volume]]*0.05</f>
        <v>270.8</v>
      </c>
      <c r="M74" s="16">
        <f>Table1[[#This Row],[Delivery Cost]]/Table1[[#This Row],[Revenue]]</f>
        <v>4.1666666666666671E-2</v>
      </c>
      <c r="N74" t="str">
        <f t="shared" si="1"/>
        <v>Jul</v>
      </c>
    </row>
    <row r="75" spans="1:14" x14ac:dyDescent="0.2">
      <c r="A75" s="1">
        <v>45561</v>
      </c>
      <c r="B75" t="s">
        <v>31</v>
      </c>
      <c r="C75" t="s">
        <v>23</v>
      </c>
      <c r="D75" t="s">
        <v>12</v>
      </c>
      <c r="E75">
        <v>5257</v>
      </c>
      <c r="F75">
        <v>1.25</v>
      </c>
      <c r="G75">
        <v>1.05</v>
      </c>
      <c r="H75">
        <v>6571.25</v>
      </c>
      <c r="I75">
        <v>5519.85</v>
      </c>
      <c r="J75">
        <v>1051.3999999999901</v>
      </c>
      <c r="K75">
        <f>Table1[[#This Row],[Liters_Sold]]</f>
        <v>5257</v>
      </c>
      <c r="L75">
        <f>Table1[[#This Row],[Delivery volume]]*0.05</f>
        <v>262.85000000000002</v>
      </c>
      <c r="M75" s="16">
        <f>Table1[[#This Row],[Delivery Cost]]/Table1[[#This Row],[Revenue]]</f>
        <v>0.04</v>
      </c>
      <c r="N75" t="str">
        <f t="shared" si="1"/>
        <v>Sep</v>
      </c>
    </row>
    <row r="76" spans="1:14" x14ac:dyDescent="0.2">
      <c r="A76" s="1">
        <v>45642</v>
      </c>
      <c r="B76" t="s">
        <v>24</v>
      </c>
      <c r="C76" t="s">
        <v>29</v>
      </c>
      <c r="D76" t="s">
        <v>18</v>
      </c>
      <c r="E76">
        <v>3494</v>
      </c>
      <c r="F76">
        <v>1.2</v>
      </c>
      <c r="G76">
        <v>1</v>
      </c>
      <c r="H76">
        <v>4192.8</v>
      </c>
      <c r="I76">
        <v>3494</v>
      </c>
      <c r="J76">
        <v>698.8</v>
      </c>
      <c r="K76">
        <f>Table1[[#This Row],[Liters_Sold]]</f>
        <v>3494</v>
      </c>
      <c r="L76">
        <f>Table1[[#This Row],[Delivery volume]]*0.05</f>
        <v>174.70000000000002</v>
      </c>
      <c r="M76" s="16">
        <f>Table1[[#This Row],[Delivery Cost]]/Table1[[#This Row],[Revenue]]</f>
        <v>4.1666666666666671E-2</v>
      </c>
      <c r="N76" t="str">
        <f t="shared" si="1"/>
        <v>Dec</v>
      </c>
    </row>
    <row r="77" spans="1:14" x14ac:dyDescent="0.2">
      <c r="A77" s="1">
        <v>45595</v>
      </c>
      <c r="B77" t="s">
        <v>25</v>
      </c>
      <c r="C77" t="s">
        <v>23</v>
      </c>
      <c r="D77" t="s">
        <v>14</v>
      </c>
      <c r="E77">
        <v>1059</v>
      </c>
      <c r="F77">
        <v>0.9</v>
      </c>
      <c r="G77">
        <v>0.7</v>
      </c>
      <c r="H77">
        <v>953.1</v>
      </c>
      <c r="I77">
        <v>741.3</v>
      </c>
      <c r="J77">
        <v>211.8</v>
      </c>
      <c r="K77">
        <f>Table1[[#This Row],[Liters_Sold]]</f>
        <v>1059</v>
      </c>
      <c r="L77">
        <f>Table1[[#This Row],[Delivery volume]]*0.05</f>
        <v>52.95</v>
      </c>
      <c r="M77" s="16">
        <f>Table1[[#This Row],[Delivery Cost]]/Table1[[#This Row],[Revenue]]</f>
        <v>5.5555555555555559E-2</v>
      </c>
      <c r="N77" t="str">
        <f t="shared" si="1"/>
        <v>Oct</v>
      </c>
    </row>
    <row r="78" spans="1:14" x14ac:dyDescent="0.2">
      <c r="A78" s="1">
        <v>45562</v>
      </c>
      <c r="B78" t="s">
        <v>25</v>
      </c>
      <c r="C78" t="s">
        <v>23</v>
      </c>
      <c r="D78" t="s">
        <v>12</v>
      </c>
      <c r="E78">
        <v>3464</v>
      </c>
      <c r="F78">
        <v>1.25</v>
      </c>
      <c r="G78">
        <v>1.05</v>
      </c>
      <c r="H78">
        <v>4330</v>
      </c>
      <c r="I78">
        <v>3637.2</v>
      </c>
      <c r="J78">
        <v>692.79999999999905</v>
      </c>
      <c r="K78">
        <f>Table1[[#This Row],[Liters_Sold]]</f>
        <v>3464</v>
      </c>
      <c r="L78">
        <f>Table1[[#This Row],[Delivery volume]]*0.05</f>
        <v>173.20000000000002</v>
      </c>
      <c r="M78" s="16">
        <f>Table1[[#This Row],[Delivery Cost]]/Table1[[#This Row],[Revenue]]</f>
        <v>0.04</v>
      </c>
      <c r="N78" t="str">
        <f t="shared" si="1"/>
        <v>Sep</v>
      </c>
    </row>
    <row r="79" spans="1:14" x14ac:dyDescent="0.2">
      <c r="A79" s="1">
        <v>45506</v>
      </c>
      <c r="B79" t="s">
        <v>28</v>
      </c>
      <c r="C79" t="s">
        <v>23</v>
      </c>
      <c r="D79" t="s">
        <v>18</v>
      </c>
      <c r="E79">
        <v>1771</v>
      </c>
      <c r="F79">
        <v>1.2</v>
      </c>
      <c r="G79">
        <v>1</v>
      </c>
      <c r="H79">
        <v>2125.1999999999998</v>
      </c>
      <c r="I79">
        <v>1771</v>
      </c>
      <c r="J79">
        <v>354.19999999999902</v>
      </c>
      <c r="K79">
        <f>Table1[[#This Row],[Liters_Sold]]</f>
        <v>1771</v>
      </c>
      <c r="L79">
        <f>Table1[[#This Row],[Delivery volume]]*0.05</f>
        <v>88.550000000000011</v>
      </c>
      <c r="M79" s="16">
        <f>Table1[[#This Row],[Delivery Cost]]/Table1[[#This Row],[Revenue]]</f>
        <v>4.1666666666666678E-2</v>
      </c>
      <c r="N79" t="str">
        <f t="shared" si="1"/>
        <v>Aug</v>
      </c>
    </row>
    <row r="80" spans="1:14" x14ac:dyDescent="0.2">
      <c r="A80" s="1">
        <v>45543</v>
      </c>
      <c r="B80" t="s">
        <v>25</v>
      </c>
      <c r="C80" t="s">
        <v>11</v>
      </c>
      <c r="D80" t="s">
        <v>12</v>
      </c>
      <c r="E80">
        <v>2313</v>
      </c>
      <c r="F80">
        <v>1.25</v>
      </c>
      <c r="G80">
        <v>1.05</v>
      </c>
      <c r="H80">
        <v>2891.25</v>
      </c>
      <c r="I80">
        <v>2428.65</v>
      </c>
      <c r="J80">
        <v>462.599999999999</v>
      </c>
      <c r="K80">
        <f>Table1[[#This Row],[Liters_Sold]]</f>
        <v>2313</v>
      </c>
      <c r="L80">
        <f>Table1[[#This Row],[Delivery volume]]*0.05</f>
        <v>115.65</v>
      </c>
      <c r="M80" s="16">
        <f>Table1[[#This Row],[Delivery Cost]]/Table1[[#This Row],[Revenue]]</f>
        <v>0.04</v>
      </c>
      <c r="N80" t="str">
        <f t="shared" si="1"/>
        <v>Sep</v>
      </c>
    </row>
    <row r="81" spans="1:14" x14ac:dyDescent="0.2">
      <c r="A81" s="1">
        <v>45481</v>
      </c>
      <c r="B81" t="s">
        <v>32</v>
      </c>
      <c r="C81" t="s">
        <v>23</v>
      </c>
      <c r="D81" t="s">
        <v>18</v>
      </c>
      <c r="E81">
        <v>3415</v>
      </c>
      <c r="F81">
        <v>1.2</v>
      </c>
      <c r="G81">
        <v>1</v>
      </c>
      <c r="H81">
        <v>4098</v>
      </c>
      <c r="I81">
        <v>3415</v>
      </c>
      <c r="J81">
        <v>683</v>
      </c>
      <c r="K81">
        <f>Table1[[#This Row],[Liters_Sold]]</f>
        <v>3415</v>
      </c>
      <c r="L81">
        <f>Table1[[#This Row],[Delivery volume]]*0.05</f>
        <v>170.75</v>
      </c>
      <c r="M81" s="16">
        <f>Table1[[#This Row],[Delivery Cost]]/Table1[[#This Row],[Revenue]]</f>
        <v>4.1666666666666664E-2</v>
      </c>
      <c r="N81" t="str">
        <f t="shared" si="1"/>
        <v>Jul</v>
      </c>
    </row>
    <row r="82" spans="1:14" x14ac:dyDescent="0.2">
      <c r="A82" s="1">
        <v>45587</v>
      </c>
      <c r="B82" t="s">
        <v>19</v>
      </c>
      <c r="C82" t="s">
        <v>11</v>
      </c>
      <c r="D82" t="s">
        <v>18</v>
      </c>
      <c r="E82">
        <v>1109</v>
      </c>
      <c r="F82">
        <v>1.2</v>
      </c>
      <c r="G82">
        <v>1</v>
      </c>
      <c r="H82">
        <v>1330.8</v>
      </c>
      <c r="I82">
        <v>1109</v>
      </c>
      <c r="J82">
        <v>221.79999999999899</v>
      </c>
      <c r="K82">
        <f>Table1[[#This Row],[Liters_Sold]]</f>
        <v>1109</v>
      </c>
      <c r="L82">
        <f>Table1[[#This Row],[Delivery volume]]*0.05</f>
        <v>55.45</v>
      </c>
      <c r="M82" s="16">
        <f>Table1[[#This Row],[Delivery Cost]]/Table1[[#This Row],[Revenue]]</f>
        <v>4.1666666666666671E-2</v>
      </c>
      <c r="N82" t="str">
        <f t="shared" si="1"/>
        <v>Oct</v>
      </c>
    </row>
    <row r="83" spans="1:14" x14ac:dyDescent="0.2">
      <c r="A83" s="1">
        <v>45504</v>
      </c>
      <c r="B83" t="s">
        <v>15</v>
      </c>
      <c r="C83" t="s">
        <v>20</v>
      </c>
      <c r="D83" t="s">
        <v>18</v>
      </c>
      <c r="E83">
        <v>2961</v>
      </c>
      <c r="F83">
        <v>1.2</v>
      </c>
      <c r="G83">
        <v>1</v>
      </c>
      <c r="H83">
        <v>3553.2</v>
      </c>
      <c r="I83">
        <v>2961</v>
      </c>
      <c r="J83">
        <v>592.19999999999902</v>
      </c>
      <c r="K83">
        <f>Table1[[#This Row],[Liters_Sold]]</f>
        <v>2961</v>
      </c>
      <c r="L83">
        <f>Table1[[#This Row],[Delivery volume]]*0.05</f>
        <v>148.05000000000001</v>
      </c>
      <c r="M83" s="16">
        <f>Table1[[#This Row],[Delivery Cost]]/Table1[[#This Row],[Revenue]]</f>
        <v>4.1666666666666671E-2</v>
      </c>
      <c r="N83" t="str">
        <f t="shared" si="1"/>
        <v>Jul</v>
      </c>
    </row>
    <row r="84" spans="1:14" x14ac:dyDescent="0.2">
      <c r="A84" s="1">
        <v>45499</v>
      </c>
      <c r="B84" t="s">
        <v>22</v>
      </c>
      <c r="C84" t="s">
        <v>29</v>
      </c>
      <c r="D84" t="s">
        <v>18</v>
      </c>
      <c r="E84">
        <v>4620</v>
      </c>
      <c r="F84">
        <v>1.2</v>
      </c>
      <c r="G84">
        <v>1</v>
      </c>
      <c r="H84">
        <v>5544</v>
      </c>
      <c r="I84">
        <v>4620</v>
      </c>
      <c r="J84">
        <v>924</v>
      </c>
      <c r="K84">
        <f>Table1[[#This Row],[Liters_Sold]]</f>
        <v>4620</v>
      </c>
      <c r="L84">
        <f>Table1[[#This Row],[Delivery volume]]*0.05</f>
        <v>231</v>
      </c>
      <c r="M84" s="16">
        <f>Table1[[#This Row],[Delivery Cost]]/Table1[[#This Row],[Revenue]]</f>
        <v>4.1666666666666664E-2</v>
      </c>
      <c r="N84" t="str">
        <f t="shared" si="1"/>
        <v>Jul</v>
      </c>
    </row>
    <row r="85" spans="1:14" x14ac:dyDescent="0.2">
      <c r="A85" s="1">
        <v>45528</v>
      </c>
      <c r="B85" t="s">
        <v>21</v>
      </c>
      <c r="C85" t="s">
        <v>29</v>
      </c>
      <c r="D85" t="s">
        <v>12</v>
      </c>
      <c r="E85">
        <v>783</v>
      </c>
      <c r="F85">
        <v>1.25</v>
      </c>
      <c r="G85">
        <v>1.05</v>
      </c>
      <c r="H85">
        <v>978.75</v>
      </c>
      <c r="I85">
        <v>822.15</v>
      </c>
      <c r="J85">
        <v>156.599999999999</v>
      </c>
      <c r="K85">
        <f>Table1[[#This Row],[Liters_Sold]]</f>
        <v>783</v>
      </c>
      <c r="L85">
        <f>Table1[[#This Row],[Delivery volume]]*0.05</f>
        <v>39.150000000000006</v>
      </c>
      <c r="M85" s="16">
        <f>Table1[[#This Row],[Delivery Cost]]/Table1[[#This Row],[Revenue]]</f>
        <v>4.0000000000000008E-2</v>
      </c>
      <c r="N85" t="str">
        <f t="shared" si="1"/>
        <v>Aug</v>
      </c>
    </row>
    <row r="86" spans="1:14" x14ac:dyDescent="0.2">
      <c r="A86" s="1">
        <v>45629</v>
      </c>
      <c r="B86" t="s">
        <v>28</v>
      </c>
      <c r="C86" t="s">
        <v>29</v>
      </c>
      <c r="D86" t="s">
        <v>14</v>
      </c>
      <c r="E86">
        <v>3428</v>
      </c>
      <c r="F86">
        <v>0.9</v>
      </c>
      <c r="G86">
        <v>0.7</v>
      </c>
      <c r="H86">
        <v>3085.2</v>
      </c>
      <c r="I86">
        <v>2399.6</v>
      </c>
      <c r="J86">
        <v>685.6</v>
      </c>
      <c r="K86">
        <f>Table1[[#This Row],[Liters_Sold]]</f>
        <v>3428</v>
      </c>
      <c r="L86">
        <f>Table1[[#This Row],[Delivery volume]]*0.05</f>
        <v>171.4</v>
      </c>
      <c r="M86" s="16">
        <f>Table1[[#This Row],[Delivery Cost]]/Table1[[#This Row],[Revenue]]</f>
        <v>5.5555555555555559E-2</v>
      </c>
      <c r="N86" t="str">
        <f t="shared" si="1"/>
        <v>Dec</v>
      </c>
    </row>
    <row r="87" spans="1:14" x14ac:dyDescent="0.2">
      <c r="A87" s="1">
        <v>45344</v>
      </c>
      <c r="B87" t="s">
        <v>10</v>
      </c>
      <c r="C87" t="s">
        <v>29</v>
      </c>
      <c r="D87" t="s">
        <v>18</v>
      </c>
      <c r="E87">
        <v>4896</v>
      </c>
      <c r="F87">
        <v>1.2</v>
      </c>
      <c r="G87">
        <v>1</v>
      </c>
      <c r="H87">
        <v>5875.2</v>
      </c>
      <c r="I87">
        <v>4896</v>
      </c>
      <c r="J87">
        <v>979.19999999999902</v>
      </c>
      <c r="K87">
        <f>Table1[[#This Row],[Liters_Sold]]</f>
        <v>4896</v>
      </c>
      <c r="L87">
        <f>Table1[[#This Row],[Delivery volume]]*0.05</f>
        <v>244.8</v>
      </c>
      <c r="M87" s="16">
        <f>Table1[[#This Row],[Delivery Cost]]/Table1[[#This Row],[Revenue]]</f>
        <v>4.1666666666666671E-2</v>
      </c>
      <c r="N87" t="str">
        <f t="shared" si="1"/>
        <v>Feb</v>
      </c>
    </row>
    <row r="88" spans="1:14" x14ac:dyDescent="0.2">
      <c r="A88" s="1">
        <v>45571</v>
      </c>
      <c r="B88" t="s">
        <v>10</v>
      </c>
      <c r="C88" t="s">
        <v>29</v>
      </c>
      <c r="D88" t="s">
        <v>12</v>
      </c>
      <c r="E88">
        <v>1591</v>
      </c>
      <c r="F88">
        <v>1.25</v>
      </c>
      <c r="G88">
        <v>1.05</v>
      </c>
      <c r="H88">
        <v>1988.75</v>
      </c>
      <c r="I88">
        <v>1670.55</v>
      </c>
      <c r="J88">
        <v>318.19999999999902</v>
      </c>
      <c r="K88">
        <f>Table1[[#This Row],[Liters_Sold]]</f>
        <v>1591</v>
      </c>
      <c r="L88">
        <f>Table1[[#This Row],[Delivery volume]]*0.05</f>
        <v>79.550000000000011</v>
      </c>
      <c r="M88" s="16">
        <f>Table1[[#This Row],[Delivery Cost]]/Table1[[#This Row],[Revenue]]</f>
        <v>4.0000000000000008E-2</v>
      </c>
      <c r="N88" t="str">
        <f t="shared" si="1"/>
        <v>Oct</v>
      </c>
    </row>
    <row r="89" spans="1:14" x14ac:dyDescent="0.2">
      <c r="A89" s="1">
        <v>45508</v>
      </c>
      <c r="B89" t="s">
        <v>21</v>
      </c>
      <c r="C89" t="s">
        <v>29</v>
      </c>
      <c r="D89" t="s">
        <v>18</v>
      </c>
      <c r="E89">
        <v>5626</v>
      </c>
      <c r="F89">
        <v>1.2</v>
      </c>
      <c r="G89">
        <v>1</v>
      </c>
      <c r="H89">
        <v>6751.2</v>
      </c>
      <c r="I89">
        <v>5626</v>
      </c>
      <c r="J89">
        <v>1125.19999999999</v>
      </c>
      <c r="K89">
        <f>Table1[[#This Row],[Liters_Sold]]</f>
        <v>5626</v>
      </c>
      <c r="L89">
        <f>Table1[[#This Row],[Delivery volume]]*0.05</f>
        <v>281.3</v>
      </c>
      <c r="M89" s="16">
        <f>Table1[[#This Row],[Delivery Cost]]/Table1[[#This Row],[Revenue]]</f>
        <v>4.1666666666666671E-2</v>
      </c>
      <c r="N89" t="str">
        <f t="shared" si="1"/>
        <v>Aug</v>
      </c>
    </row>
    <row r="90" spans="1:14" x14ac:dyDescent="0.2">
      <c r="A90" s="1">
        <v>45543</v>
      </c>
      <c r="B90" t="s">
        <v>31</v>
      </c>
      <c r="C90" t="s">
        <v>29</v>
      </c>
      <c r="D90" t="s">
        <v>18</v>
      </c>
      <c r="E90">
        <v>1316</v>
      </c>
      <c r="F90">
        <v>1.2</v>
      </c>
      <c r="G90">
        <v>1</v>
      </c>
      <c r="H90">
        <v>1579.2</v>
      </c>
      <c r="I90">
        <v>1316</v>
      </c>
      <c r="J90">
        <v>263.2</v>
      </c>
      <c r="K90">
        <f>Table1[[#This Row],[Liters_Sold]]</f>
        <v>1316</v>
      </c>
      <c r="L90">
        <f>Table1[[#This Row],[Delivery volume]]*0.05</f>
        <v>65.8</v>
      </c>
      <c r="M90" s="16">
        <f>Table1[[#This Row],[Delivery Cost]]/Table1[[#This Row],[Revenue]]</f>
        <v>4.1666666666666664E-2</v>
      </c>
      <c r="N90" t="str">
        <f t="shared" si="1"/>
        <v>Sep</v>
      </c>
    </row>
    <row r="91" spans="1:14" x14ac:dyDescent="0.2">
      <c r="A91" s="1">
        <v>45479</v>
      </c>
      <c r="B91" t="s">
        <v>21</v>
      </c>
      <c r="C91" t="s">
        <v>20</v>
      </c>
      <c r="D91" t="s">
        <v>12</v>
      </c>
      <c r="E91">
        <v>582</v>
      </c>
      <c r="F91">
        <v>1.25</v>
      </c>
      <c r="G91">
        <v>1.05</v>
      </c>
      <c r="H91">
        <v>727.5</v>
      </c>
      <c r="I91">
        <v>611.1</v>
      </c>
      <c r="J91">
        <v>116.399999999999</v>
      </c>
      <c r="K91">
        <f>Table1[[#This Row],[Liters_Sold]]</f>
        <v>582</v>
      </c>
      <c r="L91">
        <f>Table1[[#This Row],[Delivery volume]]*0.05</f>
        <v>29.1</v>
      </c>
      <c r="M91" s="16">
        <f>Table1[[#This Row],[Delivery Cost]]/Table1[[#This Row],[Revenue]]</f>
        <v>0.04</v>
      </c>
      <c r="N91" t="str">
        <f t="shared" si="1"/>
        <v>Jul</v>
      </c>
    </row>
    <row r="92" spans="1:14" x14ac:dyDescent="0.2">
      <c r="A92" s="1">
        <v>45332</v>
      </c>
      <c r="B92" t="s">
        <v>21</v>
      </c>
      <c r="C92" t="s">
        <v>23</v>
      </c>
      <c r="D92" t="s">
        <v>14</v>
      </c>
      <c r="E92">
        <v>2420</v>
      </c>
      <c r="F92">
        <v>0.9</v>
      </c>
      <c r="G92">
        <v>0.7</v>
      </c>
      <c r="H92">
        <v>2178</v>
      </c>
      <c r="I92">
        <v>1694</v>
      </c>
      <c r="J92">
        <v>484</v>
      </c>
      <c r="K92">
        <f>Table1[[#This Row],[Liters_Sold]]</f>
        <v>2420</v>
      </c>
      <c r="L92">
        <f>Table1[[#This Row],[Delivery volume]]*0.05</f>
        <v>121</v>
      </c>
      <c r="M92" s="16">
        <f>Table1[[#This Row],[Delivery Cost]]/Table1[[#This Row],[Revenue]]</f>
        <v>5.5555555555555552E-2</v>
      </c>
      <c r="N92" t="str">
        <f t="shared" si="1"/>
        <v>Feb</v>
      </c>
    </row>
    <row r="93" spans="1:14" x14ac:dyDescent="0.2">
      <c r="A93" s="1">
        <v>45448</v>
      </c>
      <c r="B93" t="s">
        <v>10</v>
      </c>
      <c r="C93" t="s">
        <v>17</v>
      </c>
      <c r="D93" t="s">
        <v>14</v>
      </c>
      <c r="E93">
        <v>3991</v>
      </c>
      <c r="F93">
        <v>0.9</v>
      </c>
      <c r="G93">
        <v>0.7</v>
      </c>
      <c r="H93">
        <v>3591.9</v>
      </c>
      <c r="I93">
        <v>2793.7</v>
      </c>
      <c r="J93">
        <v>798.2</v>
      </c>
      <c r="K93">
        <f>Table1[[#This Row],[Liters_Sold]]</f>
        <v>3991</v>
      </c>
      <c r="L93">
        <f>Table1[[#This Row],[Delivery volume]]*0.05</f>
        <v>199.55</v>
      </c>
      <c r="M93" s="16">
        <f>Table1[[#This Row],[Delivery Cost]]/Table1[[#This Row],[Revenue]]</f>
        <v>5.5555555555555559E-2</v>
      </c>
      <c r="N93" t="str">
        <f t="shared" si="1"/>
        <v>Jun</v>
      </c>
    </row>
    <row r="94" spans="1:14" x14ac:dyDescent="0.2">
      <c r="A94" s="1">
        <v>45306</v>
      </c>
      <c r="B94" t="s">
        <v>28</v>
      </c>
      <c r="C94" t="s">
        <v>11</v>
      </c>
      <c r="D94" t="s">
        <v>12</v>
      </c>
      <c r="E94">
        <v>3644</v>
      </c>
      <c r="F94">
        <v>1.25</v>
      </c>
      <c r="G94">
        <v>1.05</v>
      </c>
      <c r="H94">
        <v>4555</v>
      </c>
      <c r="I94">
        <v>3826.2</v>
      </c>
      <c r="J94">
        <v>728.79999999999905</v>
      </c>
      <c r="K94">
        <f>Table1[[#This Row],[Liters_Sold]]</f>
        <v>3644</v>
      </c>
      <c r="L94">
        <f>Table1[[#This Row],[Delivery volume]]*0.05</f>
        <v>182.20000000000002</v>
      </c>
      <c r="M94" s="16">
        <f>Table1[[#This Row],[Delivery Cost]]/Table1[[#This Row],[Revenue]]</f>
        <v>0.04</v>
      </c>
      <c r="N94" t="str">
        <f t="shared" si="1"/>
        <v>Jan</v>
      </c>
    </row>
    <row r="95" spans="1:14" x14ac:dyDescent="0.2">
      <c r="A95" s="1">
        <v>45592</v>
      </c>
      <c r="B95" t="s">
        <v>24</v>
      </c>
      <c r="C95" t="s">
        <v>17</v>
      </c>
      <c r="D95" t="s">
        <v>14</v>
      </c>
      <c r="E95">
        <v>2593</v>
      </c>
      <c r="F95">
        <v>0.9</v>
      </c>
      <c r="G95">
        <v>0.7</v>
      </c>
      <c r="H95">
        <v>2333.6999999999998</v>
      </c>
      <c r="I95">
        <v>1815.1</v>
      </c>
      <c r="J95">
        <v>518.6</v>
      </c>
      <c r="K95">
        <f>Table1[[#This Row],[Liters_Sold]]</f>
        <v>2593</v>
      </c>
      <c r="L95">
        <f>Table1[[#This Row],[Delivery volume]]*0.05</f>
        <v>129.65</v>
      </c>
      <c r="M95" s="16">
        <f>Table1[[#This Row],[Delivery Cost]]/Table1[[#This Row],[Revenue]]</f>
        <v>5.5555555555555559E-2</v>
      </c>
      <c r="N95" t="str">
        <f t="shared" si="1"/>
        <v>Oct</v>
      </c>
    </row>
    <row r="96" spans="1:14" x14ac:dyDescent="0.2">
      <c r="A96" s="1">
        <v>45356</v>
      </c>
      <c r="B96" t="s">
        <v>32</v>
      </c>
      <c r="C96" t="s">
        <v>17</v>
      </c>
      <c r="D96" t="s">
        <v>12</v>
      </c>
      <c r="E96">
        <v>5213</v>
      </c>
      <c r="F96">
        <v>1.25</v>
      </c>
      <c r="G96">
        <v>1.05</v>
      </c>
      <c r="H96">
        <v>6516.25</v>
      </c>
      <c r="I96">
        <v>5473.65</v>
      </c>
      <c r="J96">
        <v>1042.5999999999899</v>
      </c>
      <c r="K96">
        <f>Table1[[#This Row],[Liters_Sold]]</f>
        <v>5213</v>
      </c>
      <c r="L96">
        <f>Table1[[#This Row],[Delivery volume]]*0.05</f>
        <v>260.65000000000003</v>
      </c>
      <c r="M96" s="16">
        <f>Table1[[#This Row],[Delivery Cost]]/Table1[[#This Row],[Revenue]]</f>
        <v>4.0000000000000008E-2</v>
      </c>
      <c r="N96" t="str">
        <f t="shared" si="1"/>
        <v>Mar</v>
      </c>
    </row>
    <row r="97" spans="1:14" x14ac:dyDescent="0.2">
      <c r="A97" s="1">
        <v>45636</v>
      </c>
      <c r="B97" t="s">
        <v>27</v>
      </c>
      <c r="C97" t="s">
        <v>23</v>
      </c>
      <c r="D97" t="s">
        <v>12</v>
      </c>
      <c r="E97">
        <v>675</v>
      </c>
      <c r="F97">
        <v>1.25</v>
      </c>
      <c r="G97">
        <v>1.05</v>
      </c>
      <c r="H97">
        <v>843.75</v>
      </c>
      <c r="I97">
        <v>708.75</v>
      </c>
      <c r="J97">
        <v>135</v>
      </c>
      <c r="K97">
        <f>Table1[[#This Row],[Liters_Sold]]</f>
        <v>675</v>
      </c>
      <c r="L97">
        <f>Table1[[#This Row],[Delivery volume]]*0.05</f>
        <v>33.75</v>
      </c>
      <c r="M97" s="16">
        <f>Table1[[#This Row],[Delivery Cost]]/Table1[[#This Row],[Revenue]]</f>
        <v>0.04</v>
      </c>
      <c r="N97" t="str">
        <f t="shared" si="1"/>
        <v>Dec</v>
      </c>
    </row>
    <row r="98" spans="1:14" x14ac:dyDescent="0.2">
      <c r="A98" s="1">
        <v>45618</v>
      </c>
      <c r="B98" t="s">
        <v>25</v>
      </c>
      <c r="C98" t="s">
        <v>23</v>
      </c>
      <c r="D98" t="s">
        <v>12</v>
      </c>
      <c r="E98">
        <v>5785</v>
      </c>
      <c r="F98">
        <v>1.25</v>
      </c>
      <c r="G98">
        <v>1.05</v>
      </c>
      <c r="H98">
        <v>7231.25</v>
      </c>
      <c r="I98">
        <v>6074.25</v>
      </c>
      <c r="J98">
        <v>1157</v>
      </c>
      <c r="K98">
        <f>Table1[[#This Row],[Liters_Sold]]</f>
        <v>5785</v>
      </c>
      <c r="L98">
        <f>Table1[[#This Row],[Delivery volume]]*0.05</f>
        <v>289.25</v>
      </c>
      <c r="M98" s="16">
        <f>Table1[[#This Row],[Delivery Cost]]/Table1[[#This Row],[Revenue]]</f>
        <v>0.04</v>
      </c>
      <c r="N98" t="str">
        <f t="shared" si="1"/>
        <v>Nov</v>
      </c>
    </row>
    <row r="99" spans="1:14" x14ac:dyDescent="0.2">
      <c r="A99" s="1">
        <v>45300</v>
      </c>
      <c r="B99" t="s">
        <v>25</v>
      </c>
      <c r="C99" t="s">
        <v>23</v>
      </c>
      <c r="D99" t="s">
        <v>14</v>
      </c>
      <c r="E99">
        <v>3204</v>
      </c>
      <c r="F99">
        <v>0.9</v>
      </c>
      <c r="G99">
        <v>0.7</v>
      </c>
      <c r="H99">
        <v>2883.6</v>
      </c>
      <c r="I99">
        <v>2242.7999999999902</v>
      </c>
      <c r="J99">
        <v>640.79999999999995</v>
      </c>
      <c r="K99">
        <f>Table1[[#This Row],[Liters_Sold]]</f>
        <v>3204</v>
      </c>
      <c r="L99">
        <f>Table1[[#This Row],[Delivery volume]]*0.05</f>
        <v>160.20000000000002</v>
      </c>
      <c r="M99" s="16">
        <f>Table1[[#This Row],[Delivery Cost]]/Table1[[#This Row],[Revenue]]</f>
        <v>5.5555555555555566E-2</v>
      </c>
      <c r="N99" t="str">
        <f t="shared" si="1"/>
        <v>Jan</v>
      </c>
    </row>
    <row r="100" spans="1:14" x14ac:dyDescent="0.2">
      <c r="A100" s="1">
        <v>45635</v>
      </c>
      <c r="B100" t="s">
        <v>19</v>
      </c>
      <c r="C100" t="s">
        <v>29</v>
      </c>
      <c r="D100" t="s">
        <v>18</v>
      </c>
      <c r="E100">
        <v>5437</v>
      </c>
      <c r="F100">
        <v>1.2</v>
      </c>
      <c r="G100">
        <v>1</v>
      </c>
      <c r="H100">
        <v>6524.4</v>
      </c>
      <c r="I100">
        <v>5437</v>
      </c>
      <c r="J100">
        <v>1087.3999999999901</v>
      </c>
      <c r="K100">
        <f>Table1[[#This Row],[Liters_Sold]]</f>
        <v>5437</v>
      </c>
      <c r="L100">
        <f>Table1[[#This Row],[Delivery volume]]*0.05</f>
        <v>271.85000000000002</v>
      </c>
      <c r="M100" s="16">
        <f>Table1[[#This Row],[Delivery Cost]]/Table1[[#This Row],[Revenue]]</f>
        <v>4.1666666666666671E-2</v>
      </c>
      <c r="N100" t="str">
        <f t="shared" si="1"/>
        <v>Dec</v>
      </c>
    </row>
    <row r="101" spans="1:14" x14ac:dyDescent="0.2">
      <c r="A101" s="1">
        <v>45420</v>
      </c>
      <c r="B101" t="s">
        <v>28</v>
      </c>
      <c r="C101" t="s">
        <v>20</v>
      </c>
      <c r="D101" t="s">
        <v>12</v>
      </c>
      <c r="E101">
        <v>869</v>
      </c>
      <c r="F101">
        <v>1.25</v>
      </c>
      <c r="G101">
        <v>1.05</v>
      </c>
      <c r="H101">
        <v>1086.25</v>
      </c>
      <c r="I101">
        <v>912.45</v>
      </c>
      <c r="J101">
        <v>173.79999999999899</v>
      </c>
      <c r="K101">
        <f>Table1[[#This Row],[Liters_Sold]]</f>
        <v>869</v>
      </c>
      <c r="L101">
        <f>Table1[[#This Row],[Delivery volume]]*0.05</f>
        <v>43.45</v>
      </c>
      <c r="M101" s="16">
        <f>Table1[[#This Row],[Delivery Cost]]/Table1[[#This Row],[Revenue]]</f>
        <v>0.04</v>
      </c>
      <c r="N101" t="str">
        <f t="shared" si="1"/>
        <v>May</v>
      </c>
    </row>
    <row r="102" spans="1:14" x14ac:dyDescent="0.2">
      <c r="A102" s="1">
        <v>45427</v>
      </c>
      <c r="B102" t="s">
        <v>19</v>
      </c>
      <c r="C102" t="s">
        <v>29</v>
      </c>
      <c r="D102" t="s">
        <v>12</v>
      </c>
      <c r="E102">
        <v>2318</v>
      </c>
      <c r="F102">
        <v>1.25</v>
      </c>
      <c r="G102">
        <v>1.05</v>
      </c>
      <c r="H102">
        <v>2897.5</v>
      </c>
      <c r="I102">
        <v>2433.9</v>
      </c>
      <c r="J102">
        <v>463.599999999999</v>
      </c>
      <c r="K102">
        <f>Table1[[#This Row],[Liters_Sold]]</f>
        <v>2318</v>
      </c>
      <c r="L102">
        <f>Table1[[#This Row],[Delivery volume]]*0.05</f>
        <v>115.9</v>
      </c>
      <c r="M102" s="16">
        <f>Table1[[#This Row],[Delivery Cost]]/Table1[[#This Row],[Revenue]]</f>
        <v>0.04</v>
      </c>
      <c r="N102" t="str">
        <f t="shared" si="1"/>
        <v>May</v>
      </c>
    </row>
    <row r="103" spans="1:14" x14ac:dyDescent="0.2">
      <c r="A103" s="1">
        <v>45354</v>
      </c>
      <c r="B103" t="s">
        <v>22</v>
      </c>
      <c r="C103" t="s">
        <v>20</v>
      </c>
      <c r="D103" t="s">
        <v>18</v>
      </c>
      <c r="E103">
        <v>2601</v>
      </c>
      <c r="F103">
        <v>1.2</v>
      </c>
      <c r="G103">
        <v>1</v>
      </c>
      <c r="H103">
        <v>3121.2</v>
      </c>
      <c r="I103">
        <v>2601</v>
      </c>
      <c r="J103">
        <v>520.19999999999902</v>
      </c>
      <c r="K103">
        <f>Table1[[#This Row],[Liters_Sold]]</f>
        <v>2601</v>
      </c>
      <c r="L103">
        <f>Table1[[#This Row],[Delivery volume]]*0.05</f>
        <v>130.05000000000001</v>
      </c>
      <c r="M103" s="16">
        <f>Table1[[#This Row],[Delivery Cost]]/Table1[[#This Row],[Revenue]]</f>
        <v>4.1666666666666671E-2</v>
      </c>
      <c r="N103" t="str">
        <f t="shared" si="1"/>
        <v>Mar</v>
      </c>
    </row>
    <row r="104" spans="1:14" x14ac:dyDescent="0.2">
      <c r="A104" s="1">
        <v>45430</v>
      </c>
      <c r="B104" t="s">
        <v>22</v>
      </c>
      <c r="C104" t="s">
        <v>20</v>
      </c>
      <c r="D104" t="s">
        <v>12</v>
      </c>
      <c r="E104">
        <v>5285</v>
      </c>
      <c r="F104">
        <v>1.25</v>
      </c>
      <c r="G104">
        <v>1.05</v>
      </c>
      <c r="H104">
        <v>6606.25</v>
      </c>
      <c r="I104">
        <v>5549.25</v>
      </c>
      <c r="J104">
        <v>1057</v>
      </c>
      <c r="K104">
        <f>Table1[[#This Row],[Liters_Sold]]</f>
        <v>5285</v>
      </c>
      <c r="L104">
        <f>Table1[[#This Row],[Delivery volume]]*0.05</f>
        <v>264.25</v>
      </c>
      <c r="M104" s="16">
        <f>Table1[[#This Row],[Delivery Cost]]/Table1[[#This Row],[Revenue]]</f>
        <v>0.04</v>
      </c>
      <c r="N104" t="str">
        <f t="shared" si="1"/>
        <v>May</v>
      </c>
    </row>
    <row r="105" spans="1:14" x14ac:dyDescent="0.2">
      <c r="A105" s="1">
        <v>45372</v>
      </c>
      <c r="B105" t="s">
        <v>19</v>
      </c>
      <c r="C105" t="s">
        <v>17</v>
      </c>
      <c r="D105" t="s">
        <v>14</v>
      </c>
      <c r="E105">
        <v>3990</v>
      </c>
      <c r="F105">
        <v>0.9</v>
      </c>
      <c r="G105">
        <v>0.7</v>
      </c>
      <c r="H105">
        <v>3591</v>
      </c>
      <c r="I105">
        <v>2793</v>
      </c>
      <c r="J105">
        <v>798</v>
      </c>
      <c r="K105">
        <f>Table1[[#This Row],[Liters_Sold]]</f>
        <v>3990</v>
      </c>
      <c r="L105">
        <f>Table1[[#This Row],[Delivery volume]]*0.05</f>
        <v>199.5</v>
      </c>
      <c r="M105" s="16">
        <f>Table1[[#This Row],[Delivery Cost]]/Table1[[#This Row],[Revenue]]</f>
        <v>5.5555555555555552E-2</v>
      </c>
      <c r="N105" t="str">
        <f t="shared" si="1"/>
        <v>Mar</v>
      </c>
    </row>
    <row r="106" spans="1:14" x14ac:dyDescent="0.2">
      <c r="A106" s="1">
        <v>45454</v>
      </c>
      <c r="B106" t="s">
        <v>28</v>
      </c>
      <c r="C106" t="s">
        <v>17</v>
      </c>
      <c r="D106" t="s">
        <v>18</v>
      </c>
      <c r="E106">
        <v>2279</v>
      </c>
      <c r="F106">
        <v>1.2</v>
      </c>
      <c r="G106">
        <v>1</v>
      </c>
      <c r="H106">
        <v>2734.7999999999902</v>
      </c>
      <c r="I106">
        <v>2279</v>
      </c>
      <c r="J106">
        <v>455.79999999999899</v>
      </c>
      <c r="K106">
        <f>Table1[[#This Row],[Liters_Sold]]</f>
        <v>2279</v>
      </c>
      <c r="L106">
        <f>Table1[[#This Row],[Delivery volume]]*0.05</f>
        <v>113.95</v>
      </c>
      <c r="M106" s="16">
        <f>Table1[[#This Row],[Delivery Cost]]/Table1[[#This Row],[Revenue]]</f>
        <v>4.1666666666666817E-2</v>
      </c>
      <c r="N106" t="str">
        <f t="shared" si="1"/>
        <v>Jun</v>
      </c>
    </row>
    <row r="107" spans="1:14" x14ac:dyDescent="0.2">
      <c r="A107" s="1">
        <v>45580</v>
      </c>
      <c r="B107" t="s">
        <v>19</v>
      </c>
      <c r="C107" t="s">
        <v>20</v>
      </c>
      <c r="D107" t="s">
        <v>18</v>
      </c>
      <c r="E107">
        <v>1864</v>
      </c>
      <c r="F107">
        <v>1.2</v>
      </c>
      <c r="G107">
        <v>1</v>
      </c>
      <c r="H107">
        <v>2236.7999999999902</v>
      </c>
      <c r="I107">
        <v>1864</v>
      </c>
      <c r="J107">
        <v>372.79999999999899</v>
      </c>
      <c r="K107">
        <f>Table1[[#This Row],[Liters_Sold]]</f>
        <v>1864</v>
      </c>
      <c r="L107">
        <f>Table1[[#This Row],[Delivery volume]]*0.05</f>
        <v>93.2</v>
      </c>
      <c r="M107" s="16">
        <f>Table1[[#This Row],[Delivery Cost]]/Table1[[#This Row],[Revenue]]</f>
        <v>4.1666666666666852E-2</v>
      </c>
      <c r="N107" t="str">
        <f t="shared" si="1"/>
        <v>Oct</v>
      </c>
    </row>
    <row r="108" spans="1:14" x14ac:dyDescent="0.2">
      <c r="A108" s="1">
        <v>45552</v>
      </c>
      <c r="B108" t="s">
        <v>25</v>
      </c>
      <c r="C108" t="s">
        <v>20</v>
      </c>
      <c r="D108" t="s">
        <v>14</v>
      </c>
      <c r="E108">
        <v>4962</v>
      </c>
      <c r="F108">
        <v>0.9</v>
      </c>
      <c r="G108">
        <v>0.7</v>
      </c>
      <c r="H108">
        <v>4465.8</v>
      </c>
      <c r="I108">
        <v>3473.3999999999901</v>
      </c>
      <c r="J108">
        <v>992.4</v>
      </c>
      <c r="K108">
        <f>Table1[[#This Row],[Liters_Sold]]</f>
        <v>4962</v>
      </c>
      <c r="L108">
        <f>Table1[[#This Row],[Delivery volume]]*0.05</f>
        <v>248.10000000000002</v>
      </c>
      <c r="M108" s="16">
        <f>Table1[[#This Row],[Delivery Cost]]/Table1[[#This Row],[Revenue]]</f>
        <v>5.5555555555555559E-2</v>
      </c>
      <c r="N108" t="str">
        <f t="shared" si="1"/>
        <v>Sep</v>
      </c>
    </row>
    <row r="109" spans="1:14" x14ac:dyDescent="0.2">
      <c r="A109" s="1">
        <v>45522</v>
      </c>
      <c r="B109" t="s">
        <v>26</v>
      </c>
      <c r="C109" t="s">
        <v>29</v>
      </c>
      <c r="D109" t="s">
        <v>12</v>
      </c>
      <c r="E109">
        <v>3842</v>
      </c>
      <c r="F109">
        <v>1.25</v>
      </c>
      <c r="G109">
        <v>1.05</v>
      </c>
      <c r="H109">
        <v>4802.5</v>
      </c>
      <c r="I109">
        <v>4034.1</v>
      </c>
      <c r="J109">
        <v>768.39999999999895</v>
      </c>
      <c r="K109">
        <f>Table1[[#This Row],[Liters_Sold]]</f>
        <v>3842</v>
      </c>
      <c r="L109">
        <f>Table1[[#This Row],[Delivery volume]]*0.05</f>
        <v>192.10000000000002</v>
      </c>
      <c r="M109" s="16">
        <f>Table1[[#This Row],[Delivery Cost]]/Table1[[#This Row],[Revenue]]</f>
        <v>4.0000000000000008E-2</v>
      </c>
      <c r="N109" t="str">
        <f t="shared" si="1"/>
        <v>Aug</v>
      </c>
    </row>
    <row r="110" spans="1:14" x14ac:dyDescent="0.2">
      <c r="A110" s="1">
        <v>45332</v>
      </c>
      <c r="B110" t="s">
        <v>13</v>
      </c>
      <c r="C110" t="s">
        <v>29</v>
      </c>
      <c r="D110" t="s">
        <v>14</v>
      </c>
      <c r="E110">
        <v>5239</v>
      </c>
      <c r="F110">
        <v>0.9</v>
      </c>
      <c r="G110">
        <v>0.7</v>
      </c>
      <c r="H110">
        <v>4715.1000000000004</v>
      </c>
      <c r="I110">
        <v>3667.2999999999902</v>
      </c>
      <c r="J110">
        <v>1047.8</v>
      </c>
      <c r="K110">
        <f>Table1[[#This Row],[Liters_Sold]]</f>
        <v>5239</v>
      </c>
      <c r="L110">
        <f>Table1[[#This Row],[Delivery volume]]*0.05</f>
        <v>261.95</v>
      </c>
      <c r="M110" s="16">
        <f>Table1[[#This Row],[Delivery Cost]]/Table1[[#This Row],[Revenue]]</f>
        <v>5.5555555555555546E-2</v>
      </c>
      <c r="N110" t="str">
        <f t="shared" si="1"/>
        <v>Feb</v>
      </c>
    </row>
    <row r="111" spans="1:14" x14ac:dyDescent="0.2">
      <c r="A111" s="1">
        <v>45319</v>
      </c>
      <c r="B111" t="s">
        <v>10</v>
      </c>
      <c r="C111" t="s">
        <v>17</v>
      </c>
      <c r="D111" t="s">
        <v>18</v>
      </c>
      <c r="E111">
        <v>4176</v>
      </c>
      <c r="F111">
        <v>1.2</v>
      </c>
      <c r="G111">
        <v>1</v>
      </c>
      <c r="H111">
        <v>5011.2</v>
      </c>
      <c r="I111">
        <v>4176</v>
      </c>
      <c r="J111">
        <v>835.19999999999902</v>
      </c>
      <c r="K111">
        <f>Table1[[#This Row],[Liters_Sold]]</f>
        <v>4176</v>
      </c>
      <c r="L111">
        <f>Table1[[#This Row],[Delivery volume]]*0.05</f>
        <v>208.8</v>
      </c>
      <c r="M111" s="16">
        <f>Table1[[#This Row],[Delivery Cost]]/Table1[[#This Row],[Revenue]]</f>
        <v>4.1666666666666671E-2</v>
      </c>
      <c r="N111" t="str">
        <f t="shared" si="1"/>
        <v>Jan</v>
      </c>
    </row>
    <row r="112" spans="1:14" x14ac:dyDescent="0.2">
      <c r="A112" s="1">
        <v>45426</v>
      </c>
      <c r="B112" t="s">
        <v>10</v>
      </c>
      <c r="C112" t="s">
        <v>23</v>
      </c>
      <c r="D112" t="s">
        <v>18</v>
      </c>
      <c r="E112">
        <v>2926</v>
      </c>
      <c r="F112">
        <v>1.2</v>
      </c>
      <c r="G112">
        <v>1</v>
      </c>
      <c r="H112">
        <v>3511.2</v>
      </c>
      <c r="I112">
        <v>2926</v>
      </c>
      <c r="J112">
        <v>585.19999999999902</v>
      </c>
      <c r="K112">
        <f>Table1[[#This Row],[Liters_Sold]]</f>
        <v>2926</v>
      </c>
      <c r="L112">
        <f>Table1[[#This Row],[Delivery volume]]*0.05</f>
        <v>146.30000000000001</v>
      </c>
      <c r="M112" s="16">
        <f>Table1[[#This Row],[Delivery Cost]]/Table1[[#This Row],[Revenue]]</f>
        <v>4.1666666666666671E-2</v>
      </c>
      <c r="N112" t="str">
        <f t="shared" si="1"/>
        <v>May</v>
      </c>
    </row>
    <row r="113" spans="1:14" x14ac:dyDescent="0.2">
      <c r="A113" s="1">
        <v>45492</v>
      </c>
      <c r="B113" t="s">
        <v>15</v>
      </c>
      <c r="C113" t="s">
        <v>20</v>
      </c>
      <c r="D113" t="s">
        <v>12</v>
      </c>
      <c r="E113">
        <v>572</v>
      </c>
      <c r="F113">
        <v>1.25</v>
      </c>
      <c r="G113">
        <v>1.05</v>
      </c>
      <c r="H113">
        <v>715</v>
      </c>
      <c r="I113">
        <v>600.6</v>
      </c>
      <c r="J113">
        <v>114.399999999999</v>
      </c>
      <c r="K113">
        <f>Table1[[#This Row],[Liters_Sold]]</f>
        <v>572</v>
      </c>
      <c r="L113">
        <f>Table1[[#This Row],[Delivery volume]]*0.05</f>
        <v>28.6</v>
      </c>
      <c r="M113" s="16">
        <f>Table1[[#This Row],[Delivery Cost]]/Table1[[#This Row],[Revenue]]</f>
        <v>0.04</v>
      </c>
      <c r="N113" t="str">
        <f t="shared" si="1"/>
        <v>Jul</v>
      </c>
    </row>
    <row r="114" spans="1:14" x14ac:dyDescent="0.2">
      <c r="A114" s="1">
        <v>45619</v>
      </c>
      <c r="B114" t="s">
        <v>21</v>
      </c>
      <c r="C114" t="s">
        <v>29</v>
      </c>
      <c r="D114" t="s">
        <v>14</v>
      </c>
      <c r="E114">
        <v>3462</v>
      </c>
      <c r="F114">
        <v>0.9</v>
      </c>
      <c r="G114">
        <v>0.7</v>
      </c>
      <c r="H114">
        <v>3115.8</v>
      </c>
      <c r="I114">
        <v>2423.3999999999901</v>
      </c>
      <c r="J114">
        <v>692.4</v>
      </c>
      <c r="K114">
        <f>Table1[[#This Row],[Liters_Sold]]</f>
        <v>3462</v>
      </c>
      <c r="L114">
        <f>Table1[[#This Row],[Delivery volume]]*0.05</f>
        <v>173.10000000000002</v>
      </c>
      <c r="M114" s="16">
        <f>Table1[[#This Row],[Delivery Cost]]/Table1[[#This Row],[Revenue]]</f>
        <v>5.5555555555555559E-2</v>
      </c>
      <c r="N114" t="str">
        <f t="shared" si="1"/>
        <v>Nov</v>
      </c>
    </row>
    <row r="115" spans="1:14" x14ac:dyDescent="0.2">
      <c r="A115" s="1">
        <v>45559</v>
      </c>
      <c r="B115" t="s">
        <v>13</v>
      </c>
      <c r="C115" t="s">
        <v>17</v>
      </c>
      <c r="D115" t="s">
        <v>12</v>
      </c>
      <c r="E115">
        <v>5867</v>
      </c>
      <c r="F115">
        <v>1.25</v>
      </c>
      <c r="G115">
        <v>1.05</v>
      </c>
      <c r="H115">
        <v>7333.75</v>
      </c>
      <c r="I115">
        <v>6160.35</v>
      </c>
      <c r="J115">
        <v>1173.3999999999901</v>
      </c>
      <c r="K115">
        <f>Table1[[#This Row],[Liters_Sold]]</f>
        <v>5867</v>
      </c>
      <c r="L115">
        <f>Table1[[#This Row],[Delivery volume]]*0.05</f>
        <v>293.35000000000002</v>
      </c>
      <c r="M115" s="16">
        <f>Table1[[#This Row],[Delivery Cost]]/Table1[[#This Row],[Revenue]]</f>
        <v>0.04</v>
      </c>
      <c r="N115" t="str">
        <f t="shared" si="1"/>
        <v>Sep</v>
      </c>
    </row>
    <row r="116" spans="1:14" x14ac:dyDescent="0.2">
      <c r="A116" s="1">
        <v>45324</v>
      </c>
      <c r="B116" t="s">
        <v>32</v>
      </c>
      <c r="C116" t="s">
        <v>29</v>
      </c>
      <c r="D116" t="s">
        <v>12</v>
      </c>
      <c r="E116">
        <v>1359</v>
      </c>
      <c r="F116">
        <v>1.25</v>
      </c>
      <c r="G116">
        <v>1.05</v>
      </c>
      <c r="H116">
        <v>1698.75</v>
      </c>
      <c r="I116">
        <v>1426.95</v>
      </c>
      <c r="J116">
        <v>271.79999999999899</v>
      </c>
      <c r="K116">
        <f>Table1[[#This Row],[Liters_Sold]]</f>
        <v>1359</v>
      </c>
      <c r="L116">
        <f>Table1[[#This Row],[Delivery volume]]*0.05</f>
        <v>67.95</v>
      </c>
      <c r="M116" s="16">
        <f>Table1[[#This Row],[Delivery Cost]]/Table1[[#This Row],[Revenue]]</f>
        <v>0.04</v>
      </c>
      <c r="N116" t="str">
        <f t="shared" si="1"/>
        <v>Feb</v>
      </c>
    </row>
    <row r="117" spans="1:14" x14ac:dyDescent="0.2">
      <c r="A117" s="1">
        <v>45339</v>
      </c>
      <c r="B117" t="s">
        <v>28</v>
      </c>
      <c r="C117" t="s">
        <v>20</v>
      </c>
      <c r="D117" t="s">
        <v>12</v>
      </c>
      <c r="E117">
        <v>4356</v>
      </c>
      <c r="F117">
        <v>1.25</v>
      </c>
      <c r="G117">
        <v>1.05</v>
      </c>
      <c r="H117">
        <v>5445</v>
      </c>
      <c r="I117">
        <v>4573.8</v>
      </c>
      <c r="J117">
        <v>871.19999999999902</v>
      </c>
      <c r="K117">
        <f>Table1[[#This Row],[Liters_Sold]]</f>
        <v>4356</v>
      </c>
      <c r="L117">
        <f>Table1[[#This Row],[Delivery volume]]*0.05</f>
        <v>217.8</v>
      </c>
      <c r="M117" s="16">
        <f>Table1[[#This Row],[Delivery Cost]]/Table1[[#This Row],[Revenue]]</f>
        <v>0.04</v>
      </c>
      <c r="N117" t="str">
        <f t="shared" si="1"/>
        <v>Feb</v>
      </c>
    </row>
    <row r="118" spans="1:14" x14ac:dyDescent="0.2">
      <c r="A118" s="1">
        <v>45353</v>
      </c>
      <c r="B118" t="s">
        <v>16</v>
      </c>
      <c r="C118" t="s">
        <v>20</v>
      </c>
      <c r="D118" t="s">
        <v>18</v>
      </c>
      <c r="E118">
        <v>4638</v>
      </c>
      <c r="F118">
        <v>1.2</v>
      </c>
      <c r="G118">
        <v>1</v>
      </c>
      <c r="H118">
        <v>5565.5999999999904</v>
      </c>
      <c r="I118">
        <v>4638</v>
      </c>
      <c r="J118">
        <v>927.599999999999</v>
      </c>
      <c r="K118">
        <f>Table1[[#This Row],[Liters_Sold]]</f>
        <v>4638</v>
      </c>
      <c r="L118">
        <f>Table1[[#This Row],[Delivery volume]]*0.05</f>
        <v>231.9</v>
      </c>
      <c r="M118" s="16">
        <f>Table1[[#This Row],[Delivery Cost]]/Table1[[#This Row],[Revenue]]</f>
        <v>4.1666666666666741E-2</v>
      </c>
      <c r="N118" t="str">
        <f t="shared" si="1"/>
        <v>Mar</v>
      </c>
    </row>
    <row r="119" spans="1:14" x14ac:dyDescent="0.2">
      <c r="A119" s="1">
        <v>45507</v>
      </c>
      <c r="B119" t="s">
        <v>13</v>
      </c>
      <c r="C119" t="s">
        <v>11</v>
      </c>
      <c r="D119" t="s">
        <v>18</v>
      </c>
      <c r="E119">
        <v>2924</v>
      </c>
      <c r="F119">
        <v>1.2</v>
      </c>
      <c r="G119">
        <v>1</v>
      </c>
      <c r="H119">
        <v>3508.7999999999902</v>
      </c>
      <c r="I119">
        <v>2924</v>
      </c>
      <c r="J119">
        <v>584.79999999999905</v>
      </c>
      <c r="K119">
        <f>Table1[[#This Row],[Liters_Sold]]</f>
        <v>2924</v>
      </c>
      <c r="L119">
        <f>Table1[[#This Row],[Delivery volume]]*0.05</f>
        <v>146.20000000000002</v>
      </c>
      <c r="M119" s="16">
        <f>Table1[[#This Row],[Delivery Cost]]/Table1[[#This Row],[Revenue]]</f>
        <v>4.1666666666666789E-2</v>
      </c>
      <c r="N119" t="str">
        <f t="shared" si="1"/>
        <v>Aug</v>
      </c>
    </row>
    <row r="120" spans="1:14" x14ac:dyDescent="0.2">
      <c r="A120" s="1">
        <v>45584</v>
      </c>
      <c r="B120" t="s">
        <v>15</v>
      </c>
      <c r="C120" t="s">
        <v>23</v>
      </c>
      <c r="D120" t="s">
        <v>18</v>
      </c>
      <c r="E120">
        <v>1564</v>
      </c>
      <c r="F120">
        <v>1.2</v>
      </c>
      <c r="G120">
        <v>1</v>
      </c>
      <c r="H120">
        <v>1876.8</v>
      </c>
      <c r="I120">
        <v>1564</v>
      </c>
      <c r="J120">
        <v>312.79999999999899</v>
      </c>
      <c r="K120">
        <f>Table1[[#This Row],[Liters_Sold]]</f>
        <v>1564</v>
      </c>
      <c r="L120">
        <f>Table1[[#This Row],[Delivery volume]]*0.05</f>
        <v>78.2</v>
      </c>
      <c r="M120" s="16">
        <f>Table1[[#This Row],[Delivery Cost]]/Table1[[#This Row],[Revenue]]</f>
        <v>4.1666666666666671E-2</v>
      </c>
      <c r="N120" t="str">
        <f t="shared" si="1"/>
        <v>Oct</v>
      </c>
    </row>
    <row r="121" spans="1:14" x14ac:dyDescent="0.2">
      <c r="A121" s="1">
        <v>45390</v>
      </c>
      <c r="B121" t="s">
        <v>22</v>
      </c>
      <c r="C121" t="s">
        <v>11</v>
      </c>
      <c r="D121" t="s">
        <v>14</v>
      </c>
      <c r="E121">
        <v>2717</v>
      </c>
      <c r="F121">
        <v>0.9</v>
      </c>
      <c r="G121">
        <v>0.7</v>
      </c>
      <c r="H121">
        <v>2445.3000000000002</v>
      </c>
      <c r="I121">
        <v>1901.8999999999901</v>
      </c>
      <c r="J121">
        <v>543.4</v>
      </c>
      <c r="K121">
        <f>Table1[[#This Row],[Liters_Sold]]</f>
        <v>2717</v>
      </c>
      <c r="L121">
        <f>Table1[[#This Row],[Delivery volume]]*0.05</f>
        <v>135.85</v>
      </c>
      <c r="M121" s="16">
        <f>Table1[[#This Row],[Delivery Cost]]/Table1[[#This Row],[Revenue]]</f>
        <v>5.5555555555555552E-2</v>
      </c>
      <c r="N121" t="str">
        <f t="shared" si="1"/>
        <v>Apr</v>
      </c>
    </row>
    <row r="122" spans="1:14" x14ac:dyDescent="0.2">
      <c r="A122" s="1">
        <v>45463</v>
      </c>
      <c r="B122" t="s">
        <v>31</v>
      </c>
      <c r="C122" t="s">
        <v>17</v>
      </c>
      <c r="D122" t="s">
        <v>12</v>
      </c>
      <c r="E122">
        <v>4517</v>
      </c>
      <c r="F122">
        <v>1.25</v>
      </c>
      <c r="G122">
        <v>1.05</v>
      </c>
      <c r="H122">
        <v>5646.25</v>
      </c>
      <c r="I122">
        <v>4742.8500000000004</v>
      </c>
      <c r="J122">
        <v>903.39999999999895</v>
      </c>
      <c r="K122">
        <f>Table1[[#This Row],[Liters_Sold]]</f>
        <v>4517</v>
      </c>
      <c r="L122">
        <f>Table1[[#This Row],[Delivery volume]]*0.05</f>
        <v>225.85000000000002</v>
      </c>
      <c r="M122" s="16">
        <f>Table1[[#This Row],[Delivery Cost]]/Table1[[#This Row],[Revenue]]</f>
        <v>0.04</v>
      </c>
      <c r="N122" t="str">
        <f t="shared" si="1"/>
        <v>Jun</v>
      </c>
    </row>
    <row r="123" spans="1:14" x14ac:dyDescent="0.2">
      <c r="A123" s="1">
        <v>45651</v>
      </c>
      <c r="B123" t="s">
        <v>21</v>
      </c>
      <c r="C123" t="s">
        <v>29</v>
      </c>
      <c r="D123" t="s">
        <v>18</v>
      </c>
      <c r="E123">
        <v>2759</v>
      </c>
      <c r="F123">
        <v>1.2</v>
      </c>
      <c r="G123">
        <v>1</v>
      </c>
      <c r="H123">
        <v>3310.7999999999902</v>
      </c>
      <c r="I123">
        <v>2759</v>
      </c>
      <c r="J123">
        <v>551.79999999999905</v>
      </c>
      <c r="K123">
        <f>Table1[[#This Row],[Liters_Sold]]</f>
        <v>2759</v>
      </c>
      <c r="L123">
        <f>Table1[[#This Row],[Delivery volume]]*0.05</f>
        <v>137.95000000000002</v>
      </c>
      <c r="M123" s="16">
        <f>Table1[[#This Row],[Delivery Cost]]/Table1[[#This Row],[Revenue]]</f>
        <v>4.1666666666666796E-2</v>
      </c>
      <c r="N123" t="str">
        <f t="shared" si="1"/>
        <v>Dec</v>
      </c>
    </row>
    <row r="124" spans="1:14" x14ac:dyDescent="0.2">
      <c r="A124" s="1">
        <v>45505</v>
      </c>
      <c r="B124" t="s">
        <v>15</v>
      </c>
      <c r="C124" t="s">
        <v>17</v>
      </c>
      <c r="D124" t="s">
        <v>12</v>
      </c>
      <c r="E124">
        <v>4251</v>
      </c>
      <c r="F124">
        <v>1.25</v>
      </c>
      <c r="G124">
        <v>1.05</v>
      </c>
      <c r="H124">
        <v>5313.75</v>
      </c>
      <c r="I124">
        <v>4463.55</v>
      </c>
      <c r="J124">
        <v>850.19999999999902</v>
      </c>
      <c r="K124">
        <f>Table1[[#This Row],[Liters_Sold]]</f>
        <v>4251</v>
      </c>
      <c r="L124">
        <f>Table1[[#This Row],[Delivery volume]]*0.05</f>
        <v>212.55</v>
      </c>
      <c r="M124" s="16">
        <f>Table1[[#This Row],[Delivery Cost]]/Table1[[#This Row],[Revenue]]</f>
        <v>0.04</v>
      </c>
      <c r="N124" t="str">
        <f t="shared" si="1"/>
        <v>Aug</v>
      </c>
    </row>
    <row r="125" spans="1:14" x14ac:dyDescent="0.2">
      <c r="A125" s="1">
        <v>45326</v>
      </c>
      <c r="B125" t="s">
        <v>27</v>
      </c>
      <c r="C125" t="s">
        <v>20</v>
      </c>
      <c r="D125" t="s">
        <v>14</v>
      </c>
      <c r="E125">
        <v>2586</v>
      </c>
      <c r="F125">
        <v>0.9</v>
      </c>
      <c r="G125">
        <v>0.7</v>
      </c>
      <c r="H125">
        <v>2327.4</v>
      </c>
      <c r="I125">
        <v>1810.19999999999</v>
      </c>
      <c r="J125">
        <v>517.20000000000005</v>
      </c>
      <c r="K125">
        <f>Table1[[#This Row],[Liters_Sold]]</f>
        <v>2586</v>
      </c>
      <c r="L125">
        <f>Table1[[#This Row],[Delivery volume]]*0.05</f>
        <v>129.30000000000001</v>
      </c>
      <c r="M125" s="16">
        <f>Table1[[#This Row],[Delivery Cost]]/Table1[[#This Row],[Revenue]]</f>
        <v>5.5555555555555559E-2</v>
      </c>
      <c r="N125" t="str">
        <f t="shared" si="1"/>
        <v>Feb</v>
      </c>
    </row>
    <row r="126" spans="1:14" x14ac:dyDescent="0.2">
      <c r="A126" s="1">
        <v>45518</v>
      </c>
      <c r="B126" t="s">
        <v>16</v>
      </c>
      <c r="C126" t="s">
        <v>11</v>
      </c>
      <c r="D126" t="s">
        <v>18</v>
      </c>
      <c r="E126">
        <v>868</v>
      </c>
      <c r="F126">
        <v>1.2</v>
      </c>
      <c r="G126">
        <v>1</v>
      </c>
      <c r="H126">
        <v>1041.5999999999999</v>
      </c>
      <c r="I126">
        <v>868</v>
      </c>
      <c r="J126">
        <v>173.599999999999</v>
      </c>
      <c r="K126">
        <f>Table1[[#This Row],[Liters_Sold]]</f>
        <v>868</v>
      </c>
      <c r="L126">
        <f>Table1[[#This Row],[Delivery volume]]*0.05</f>
        <v>43.400000000000006</v>
      </c>
      <c r="M126" s="16">
        <f>Table1[[#This Row],[Delivery Cost]]/Table1[[#This Row],[Revenue]]</f>
        <v>4.1666666666666678E-2</v>
      </c>
      <c r="N126" t="str">
        <f t="shared" si="1"/>
        <v>Aug</v>
      </c>
    </row>
    <row r="127" spans="1:14" x14ac:dyDescent="0.2">
      <c r="A127" s="1">
        <v>45392</v>
      </c>
      <c r="B127" t="s">
        <v>28</v>
      </c>
      <c r="C127" t="s">
        <v>11</v>
      </c>
      <c r="D127" t="s">
        <v>18</v>
      </c>
      <c r="E127">
        <v>3304</v>
      </c>
      <c r="F127">
        <v>1.2</v>
      </c>
      <c r="G127">
        <v>1</v>
      </c>
      <c r="H127">
        <v>3964.7999999999902</v>
      </c>
      <c r="I127">
        <v>3304</v>
      </c>
      <c r="J127">
        <v>660.79999999999905</v>
      </c>
      <c r="K127">
        <f>Table1[[#This Row],[Liters_Sold]]</f>
        <v>3304</v>
      </c>
      <c r="L127">
        <f>Table1[[#This Row],[Delivery volume]]*0.05</f>
        <v>165.20000000000002</v>
      </c>
      <c r="M127" s="16">
        <f>Table1[[#This Row],[Delivery Cost]]/Table1[[#This Row],[Revenue]]</f>
        <v>4.1666666666666775E-2</v>
      </c>
      <c r="N127" t="str">
        <f t="shared" si="1"/>
        <v>Apr</v>
      </c>
    </row>
    <row r="128" spans="1:14" x14ac:dyDescent="0.2">
      <c r="A128" s="1">
        <v>45422</v>
      </c>
      <c r="B128" t="s">
        <v>21</v>
      </c>
      <c r="C128" t="s">
        <v>11</v>
      </c>
      <c r="D128" t="s">
        <v>18</v>
      </c>
      <c r="E128">
        <v>650</v>
      </c>
      <c r="F128">
        <v>1.2</v>
      </c>
      <c r="G128">
        <v>1</v>
      </c>
      <c r="H128">
        <v>780</v>
      </c>
      <c r="I128">
        <v>650</v>
      </c>
      <c r="J128">
        <v>130</v>
      </c>
      <c r="K128">
        <f>Table1[[#This Row],[Liters_Sold]]</f>
        <v>650</v>
      </c>
      <c r="L128">
        <f>Table1[[#This Row],[Delivery volume]]*0.05</f>
        <v>32.5</v>
      </c>
      <c r="M128" s="16">
        <f>Table1[[#This Row],[Delivery Cost]]/Table1[[#This Row],[Revenue]]</f>
        <v>4.1666666666666664E-2</v>
      </c>
      <c r="N128" t="str">
        <f t="shared" si="1"/>
        <v>May</v>
      </c>
    </row>
    <row r="129" spans="1:14" x14ac:dyDescent="0.2">
      <c r="A129" s="1">
        <v>45548</v>
      </c>
      <c r="B129" t="s">
        <v>32</v>
      </c>
      <c r="C129" t="s">
        <v>17</v>
      </c>
      <c r="D129" t="s">
        <v>12</v>
      </c>
      <c r="E129">
        <v>1634</v>
      </c>
      <c r="F129">
        <v>1.25</v>
      </c>
      <c r="G129">
        <v>1.05</v>
      </c>
      <c r="H129">
        <v>2042.5</v>
      </c>
      <c r="I129">
        <v>1715.7</v>
      </c>
      <c r="J129">
        <v>326.79999999999899</v>
      </c>
      <c r="K129">
        <f>Table1[[#This Row],[Liters_Sold]]</f>
        <v>1634</v>
      </c>
      <c r="L129">
        <f>Table1[[#This Row],[Delivery volume]]*0.05</f>
        <v>81.7</v>
      </c>
      <c r="M129" s="16">
        <f>Table1[[#This Row],[Delivery Cost]]/Table1[[#This Row],[Revenue]]</f>
        <v>0.04</v>
      </c>
      <c r="N129" t="str">
        <f t="shared" si="1"/>
        <v>Sep</v>
      </c>
    </row>
    <row r="130" spans="1:14" x14ac:dyDescent="0.2">
      <c r="A130" s="1">
        <v>45296</v>
      </c>
      <c r="B130" t="s">
        <v>13</v>
      </c>
      <c r="C130" t="s">
        <v>20</v>
      </c>
      <c r="D130" t="s">
        <v>12</v>
      </c>
      <c r="E130">
        <v>5666</v>
      </c>
      <c r="F130">
        <v>1.25</v>
      </c>
      <c r="G130">
        <v>1.05</v>
      </c>
      <c r="H130">
        <v>7082.5</v>
      </c>
      <c r="I130">
        <v>5949.3</v>
      </c>
      <c r="J130">
        <v>1133.19999999999</v>
      </c>
      <c r="K130">
        <f>Table1[[#This Row],[Liters_Sold]]</f>
        <v>5666</v>
      </c>
      <c r="L130">
        <f>Table1[[#This Row],[Delivery volume]]*0.05</f>
        <v>283.3</v>
      </c>
      <c r="M130" s="16">
        <f>Table1[[#This Row],[Delivery Cost]]/Table1[[#This Row],[Revenue]]</f>
        <v>0.04</v>
      </c>
      <c r="N130" t="str">
        <f t="shared" ref="N130:N193" si="2">TEXT(A130,"mmm")</f>
        <v>Jan</v>
      </c>
    </row>
    <row r="131" spans="1:14" x14ac:dyDescent="0.2">
      <c r="A131" s="1">
        <v>45509</v>
      </c>
      <c r="B131" t="s">
        <v>22</v>
      </c>
      <c r="C131" t="s">
        <v>29</v>
      </c>
      <c r="D131" t="s">
        <v>18</v>
      </c>
      <c r="E131">
        <v>5619</v>
      </c>
      <c r="F131">
        <v>1.2</v>
      </c>
      <c r="G131">
        <v>1</v>
      </c>
      <c r="H131">
        <v>6742.8</v>
      </c>
      <c r="I131">
        <v>5619</v>
      </c>
      <c r="J131">
        <v>1123.8</v>
      </c>
      <c r="K131">
        <f>Table1[[#This Row],[Liters_Sold]]</f>
        <v>5619</v>
      </c>
      <c r="L131">
        <f>Table1[[#This Row],[Delivery volume]]*0.05</f>
        <v>280.95</v>
      </c>
      <c r="M131" s="16">
        <f>Table1[[#This Row],[Delivery Cost]]/Table1[[#This Row],[Revenue]]</f>
        <v>4.1666666666666664E-2</v>
      </c>
      <c r="N131" t="str">
        <f t="shared" si="2"/>
        <v>Aug</v>
      </c>
    </row>
    <row r="132" spans="1:14" x14ac:dyDescent="0.2">
      <c r="A132" s="1">
        <v>45546</v>
      </c>
      <c r="B132" t="s">
        <v>24</v>
      </c>
      <c r="C132" t="s">
        <v>29</v>
      </c>
      <c r="D132" t="s">
        <v>12</v>
      </c>
      <c r="E132">
        <v>3284</v>
      </c>
      <c r="F132">
        <v>1.25</v>
      </c>
      <c r="G132">
        <v>1.05</v>
      </c>
      <c r="H132">
        <v>4105</v>
      </c>
      <c r="I132">
        <v>3448.2</v>
      </c>
      <c r="J132">
        <v>656.79999999999905</v>
      </c>
      <c r="K132">
        <f>Table1[[#This Row],[Liters_Sold]]</f>
        <v>3284</v>
      </c>
      <c r="L132">
        <f>Table1[[#This Row],[Delivery volume]]*0.05</f>
        <v>164.20000000000002</v>
      </c>
      <c r="M132" s="16">
        <f>Table1[[#This Row],[Delivery Cost]]/Table1[[#This Row],[Revenue]]</f>
        <v>0.04</v>
      </c>
      <c r="N132" t="str">
        <f t="shared" si="2"/>
        <v>Sep</v>
      </c>
    </row>
    <row r="133" spans="1:14" x14ac:dyDescent="0.2">
      <c r="A133" s="1">
        <v>45650</v>
      </c>
      <c r="B133" t="s">
        <v>26</v>
      </c>
      <c r="C133" t="s">
        <v>17</v>
      </c>
      <c r="D133" t="s">
        <v>12</v>
      </c>
      <c r="E133">
        <v>5985</v>
      </c>
      <c r="F133">
        <v>1.25</v>
      </c>
      <c r="G133">
        <v>1.05</v>
      </c>
      <c r="H133">
        <v>7481.25</v>
      </c>
      <c r="I133">
        <v>6284.25</v>
      </c>
      <c r="J133">
        <v>1197</v>
      </c>
      <c r="K133">
        <f>Table1[[#This Row],[Liters_Sold]]</f>
        <v>5985</v>
      </c>
      <c r="L133">
        <f>Table1[[#This Row],[Delivery volume]]*0.05</f>
        <v>299.25</v>
      </c>
      <c r="M133" s="16">
        <f>Table1[[#This Row],[Delivery Cost]]/Table1[[#This Row],[Revenue]]</f>
        <v>0.04</v>
      </c>
      <c r="N133" t="str">
        <f t="shared" si="2"/>
        <v>Dec</v>
      </c>
    </row>
    <row r="134" spans="1:14" x14ac:dyDescent="0.2">
      <c r="A134" s="1">
        <v>45574</v>
      </c>
      <c r="B134" t="s">
        <v>27</v>
      </c>
      <c r="C134" t="s">
        <v>11</v>
      </c>
      <c r="D134" t="s">
        <v>12</v>
      </c>
      <c r="E134">
        <v>4664</v>
      </c>
      <c r="F134">
        <v>1.25</v>
      </c>
      <c r="G134">
        <v>1.05</v>
      </c>
      <c r="H134">
        <v>5830</v>
      </c>
      <c r="I134">
        <v>4897.2</v>
      </c>
      <c r="J134">
        <v>932.8</v>
      </c>
      <c r="K134">
        <f>Table1[[#This Row],[Liters_Sold]]</f>
        <v>4664</v>
      </c>
      <c r="L134">
        <f>Table1[[#This Row],[Delivery volume]]*0.05</f>
        <v>233.20000000000002</v>
      </c>
      <c r="M134" s="16">
        <f>Table1[[#This Row],[Delivery Cost]]/Table1[[#This Row],[Revenue]]</f>
        <v>0.04</v>
      </c>
      <c r="N134" t="str">
        <f t="shared" si="2"/>
        <v>Oct</v>
      </c>
    </row>
    <row r="135" spans="1:14" x14ac:dyDescent="0.2">
      <c r="A135" s="1">
        <v>45498</v>
      </c>
      <c r="B135" t="s">
        <v>16</v>
      </c>
      <c r="C135" t="s">
        <v>23</v>
      </c>
      <c r="D135" t="s">
        <v>18</v>
      </c>
      <c r="E135">
        <v>2846</v>
      </c>
      <c r="F135">
        <v>1.2</v>
      </c>
      <c r="G135">
        <v>1</v>
      </c>
      <c r="H135">
        <v>3415.2</v>
      </c>
      <c r="I135">
        <v>2846</v>
      </c>
      <c r="J135">
        <v>569.19999999999902</v>
      </c>
      <c r="K135">
        <f>Table1[[#This Row],[Liters_Sold]]</f>
        <v>2846</v>
      </c>
      <c r="L135">
        <f>Table1[[#This Row],[Delivery volume]]*0.05</f>
        <v>142.30000000000001</v>
      </c>
      <c r="M135" s="16">
        <f>Table1[[#This Row],[Delivery Cost]]/Table1[[#This Row],[Revenue]]</f>
        <v>4.1666666666666671E-2</v>
      </c>
      <c r="N135" t="str">
        <f t="shared" si="2"/>
        <v>Jul</v>
      </c>
    </row>
    <row r="136" spans="1:14" x14ac:dyDescent="0.2">
      <c r="A136" s="1">
        <v>45306</v>
      </c>
      <c r="B136" t="s">
        <v>26</v>
      </c>
      <c r="C136" t="s">
        <v>17</v>
      </c>
      <c r="D136" t="s">
        <v>12</v>
      </c>
      <c r="E136">
        <v>5539</v>
      </c>
      <c r="F136">
        <v>1.25</v>
      </c>
      <c r="G136">
        <v>1.05</v>
      </c>
      <c r="H136">
        <v>6923.75</v>
      </c>
      <c r="I136">
        <v>5815.95</v>
      </c>
      <c r="J136">
        <v>1107.8</v>
      </c>
      <c r="K136">
        <f>Table1[[#This Row],[Liters_Sold]]</f>
        <v>5539</v>
      </c>
      <c r="L136">
        <f>Table1[[#This Row],[Delivery volume]]*0.05</f>
        <v>276.95</v>
      </c>
      <c r="M136" s="16">
        <f>Table1[[#This Row],[Delivery Cost]]/Table1[[#This Row],[Revenue]]</f>
        <v>0.04</v>
      </c>
      <c r="N136" t="str">
        <f t="shared" si="2"/>
        <v>Jan</v>
      </c>
    </row>
    <row r="137" spans="1:14" x14ac:dyDescent="0.2">
      <c r="A137" s="1">
        <v>45637</v>
      </c>
      <c r="B137" t="s">
        <v>21</v>
      </c>
      <c r="C137" t="s">
        <v>17</v>
      </c>
      <c r="D137" t="s">
        <v>12</v>
      </c>
      <c r="E137">
        <v>5397</v>
      </c>
      <c r="F137">
        <v>1.25</v>
      </c>
      <c r="G137">
        <v>1.05</v>
      </c>
      <c r="H137">
        <v>6746.25</v>
      </c>
      <c r="I137">
        <v>5666.85</v>
      </c>
      <c r="J137">
        <v>1079.3999999999901</v>
      </c>
      <c r="K137">
        <f>Table1[[#This Row],[Liters_Sold]]</f>
        <v>5397</v>
      </c>
      <c r="L137">
        <f>Table1[[#This Row],[Delivery volume]]*0.05</f>
        <v>269.85000000000002</v>
      </c>
      <c r="M137" s="16">
        <f>Table1[[#This Row],[Delivery Cost]]/Table1[[#This Row],[Revenue]]</f>
        <v>0.04</v>
      </c>
      <c r="N137" t="str">
        <f t="shared" si="2"/>
        <v>Dec</v>
      </c>
    </row>
    <row r="138" spans="1:14" x14ac:dyDescent="0.2">
      <c r="A138" s="1">
        <v>45333</v>
      </c>
      <c r="B138" t="s">
        <v>22</v>
      </c>
      <c r="C138" t="s">
        <v>20</v>
      </c>
      <c r="D138" t="s">
        <v>18</v>
      </c>
      <c r="E138">
        <v>2750</v>
      </c>
      <c r="F138">
        <v>1.2</v>
      </c>
      <c r="G138">
        <v>1</v>
      </c>
      <c r="H138">
        <v>3300</v>
      </c>
      <c r="I138">
        <v>2750</v>
      </c>
      <c r="J138">
        <v>550</v>
      </c>
      <c r="K138">
        <f>Table1[[#This Row],[Liters_Sold]]</f>
        <v>2750</v>
      </c>
      <c r="L138">
        <f>Table1[[#This Row],[Delivery volume]]*0.05</f>
        <v>137.5</v>
      </c>
      <c r="M138" s="16">
        <f>Table1[[#This Row],[Delivery Cost]]/Table1[[#This Row],[Revenue]]</f>
        <v>4.1666666666666664E-2</v>
      </c>
      <c r="N138" t="str">
        <f t="shared" si="2"/>
        <v>Feb</v>
      </c>
    </row>
    <row r="139" spans="1:14" x14ac:dyDescent="0.2">
      <c r="A139" s="1">
        <v>45470</v>
      </c>
      <c r="B139" t="s">
        <v>22</v>
      </c>
      <c r="C139" t="s">
        <v>29</v>
      </c>
      <c r="D139" t="s">
        <v>18</v>
      </c>
      <c r="E139">
        <v>560</v>
      </c>
      <c r="F139">
        <v>1.2</v>
      </c>
      <c r="G139">
        <v>1</v>
      </c>
      <c r="H139">
        <v>672</v>
      </c>
      <c r="I139">
        <v>560</v>
      </c>
      <c r="J139">
        <v>112</v>
      </c>
      <c r="K139">
        <f>Table1[[#This Row],[Liters_Sold]]</f>
        <v>560</v>
      </c>
      <c r="L139">
        <f>Table1[[#This Row],[Delivery volume]]*0.05</f>
        <v>28</v>
      </c>
      <c r="M139" s="16">
        <f>Table1[[#This Row],[Delivery Cost]]/Table1[[#This Row],[Revenue]]</f>
        <v>4.1666666666666664E-2</v>
      </c>
      <c r="N139" t="str">
        <f t="shared" si="2"/>
        <v>Jun</v>
      </c>
    </row>
    <row r="140" spans="1:14" x14ac:dyDescent="0.2">
      <c r="A140" s="1">
        <v>45354</v>
      </c>
      <c r="B140" t="s">
        <v>15</v>
      </c>
      <c r="C140" t="s">
        <v>17</v>
      </c>
      <c r="D140" t="s">
        <v>12</v>
      </c>
      <c r="E140">
        <v>5541</v>
      </c>
      <c r="F140">
        <v>1.25</v>
      </c>
      <c r="G140">
        <v>1.05</v>
      </c>
      <c r="H140">
        <v>6926.25</v>
      </c>
      <c r="I140">
        <v>5818.05</v>
      </c>
      <c r="J140">
        <v>1108.19999999999</v>
      </c>
      <c r="K140">
        <f>Table1[[#This Row],[Liters_Sold]]</f>
        <v>5541</v>
      </c>
      <c r="L140">
        <f>Table1[[#This Row],[Delivery volume]]*0.05</f>
        <v>277.05</v>
      </c>
      <c r="M140" s="16">
        <f>Table1[[#This Row],[Delivery Cost]]/Table1[[#This Row],[Revenue]]</f>
        <v>0.04</v>
      </c>
      <c r="N140" t="str">
        <f t="shared" si="2"/>
        <v>Mar</v>
      </c>
    </row>
    <row r="141" spans="1:14" x14ac:dyDescent="0.2">
      <c r="A141" s="1">
        <v>45643</v>
      </c>
      <c r="B141" t="s">
        <v>10</v>
      </c>
      <c r="C141" t="s">
        <v>17</v>
      </c>
      <c r="D141" t="s">
        <v>12</v>
      </c>
      <c r="E141">
        <v>3510</v>
      </c>
      <c r="F141">
        <v>1.25</v>
      </c>
      <c r="G141">
        <v>1.05</v>
      </c>
      <c r="H141">
        <v>4387.5</v>
      </c>
      <c r="I141">
        <v>3685.5</v>
      </c>
      <c r="J141">
        <v>702</v>
      </c>
      <c r="K141">
        <f>Table1[[#This Row],[Liters_Sold]]</f>
        <v>3510</v>
      </c>
      <c r="L141">
        <f>Table1[[#This Row],[Delivery volume]]*0.05</f>
        <v>175.5</v>
      </c>
      <c r="M141" s="16">
        <f>Table1[[#This Row],[Delivery Cost]]/Table1[[#This Row],[Revenue]]</f>
        <v>0.04</v>
      </c>
      <c r="N141" t="str">
        <f t="shared" si="2"/>
        <v>Dec</v>
      </c>
    </row>
    <row r="142" spans="1:14" x14ac:dyDescent="0.2">
      <c r="A142" s="1">
        <v>45522</v>
      </c>
      <c r="B142" t="s">
        <v>10</v>
      </c>
      <c r="C142" t="s">
        <v>11</v>
      </c>
      <c r="D142" t="s">
        <v>12</v>
      </c>
      <c r="E142">
        <v>4401</v>
      </c>
      <c r="F142">
        <v>1.25</v>
      </c>
      <c r="G142">
        <v>1.05</v>
      </c>
      <c r="H142">
        <v>5501.25</v>
      </c>
      <c r="I142">
        <v>4621.05</v>
      </c>
      <c r="J142">
        <v>880.19999999999902</v>
      </c>
      <c r="K142">
        <f>Table1[[#This Row],[Liters_Sold]]</f>
        <v>4401</v>
      </c>
      <c r="L142">
        <f>Table1[[#This Row],[Delivery volume]]*0.05</f>
        <v>220.05</v>
      </c>
      <c r="M142" s="16">
        <f>Table1[[#This Row],[Delivery Cost]]/Table1[[#This Row],[Revenue]]</f>
        <v>0.04</v>
      </c>
      <c r="N142" t="str">
        <f t="shared" si="2"/>
        <v>Aug</v>
      </c>
    </row>
    <row r="143" spans="1:14" x14ac:dyDescent="0.2">
      <c r="A143" s="1">
        <v>45532</v>
      </c>
      <c r="B143" t="s">
        <v>13</v>
      </c>
      <c r="C143" t="s">
        <v>11</v>
      </c>
      <c r="D143" t="s">
        <v>12</v>
      </c>
      <c r="E143">
        <v>1837</v>
      </c>
      <c r="F143">
        <v>1.25</v>
      </c>
      <c r="G143">
        <v>1.05</v>
      </c>
      <c r="H143">
        <v>2296.25</v>
      </c>
      <c r="I143">
        <v>1928.85</v>
      </c>
      <c r="J143">
        <v>367.39999999999901</v>
      </c>
      <c r="K143">
        <f>Table1[[#This Row],[Liters_Sold]]</f>
        <v>1837</v>
      </c>
      <c r="L143">
        <f>Table1[[#This Row],[Delivery volume]]*0.05</f>
        <v>91.850000000000009</v>
      </c>
      <c r="M143" s="16">
        <f>Table1[[#This Row],[Delivery Cost]]/Table1[[#This Row],[Revenue]]</f>
        <v>0.04</v>
      </c>
      <c r="N143" t="str">
        <f t="shared" si="2"/>
        <v>Aug</v>
      </c>
    </row>
    <row r="144" spans="1:14" x14ac:dyDescent="0.2">
      <c r="A144" s="1">
        <v>45343</v>
      </c>
      <c r="B144" t="s">
        <v>15</v>
      </c>
      <c r="C144" t="s">
        <v>23</v>
      </c>
      <c r="D144" t="s">
        <v>12</v>
      </c>
      <c r="E144">
        <v>1684</v>
      </c>
      <c r="F144">
        <v>1.25</v>
      </c>
      <c r="G144">
        <v>1.05</v>
      </c>
      <c r="H144">
        <v>2105</v>
      </c>
      <c r="I144">
        <v>1768.2</v>
      </c>
      <c r="J144">
        <v>336.79999999999899</v>
      </c>
      <c r="K144">
        <f>Table1[[#This Row],[Liters_Sold]]</f>
        <v>1684</v>
      </c>
      <c r="L144">
        <f>Table1[[#This Row],[Delivery volume]]*0.05</f>
        <v>84.2</v>
      </c>
      <c r="M144" s="16">
        <f>Table1[[#This Row],[Delivery Cost]]/Table1[[#This Row],[Revenue]]</f>
        <v>0.04</v>
      </c>
      <c r="N144" t="str">
        <f t="shared" si="2"/>
        <v>Feb</v>
      </c>
    </row>
    <row r="145" spans="1:14" x14ac:dyDescent="0.2">
      <c r="A145" s="1">
        <v>45387</v>
      </c>
      <c r="B145" t="s">
        <v>25</v>
      </c>
      <c r="C145" t="s">
        <v>20</v>
      </c>
      <c r="D145" t="s">
        <v>18</v>
      </c>
      <c r="E145">
        <v>4926</v>
      </c>
      <c r="F145">
        <v>1.2</v>
      </c>
      <c r="G145">
        <v>1</v>
      </c>
      <c r="H145">
        <v>5911.2</v>
      </c>
      <c r="I145">
        <v>4926</v>
      </c>
      <c r="J145">
        <v>985.19999999999902</v>
      </c>
      <c r="K145">
        <f>Table1[[#This Row],[Liters_Sold]]</f>
        <v>4926</v>
      </c>
      <c r="L145">
        <f>Table1[[#This Row],[Delivery volume]]*0.05</f>
        <v>246.3</v>
      </c>
      <c r="M145" s="16">
        <f>Table1[[#This Row],[Delivery Cost]]/Table1[[#This Row],[Revenue]]</f>
        <v>4.1666666666666671E-2</v>
      </c>
      <c r="N145" t="str">
        <f t="shared" si="2"/>
        <v>Apr</v>
      </c>
    </row>
    <row r="146" spans="1:14" x14ac:dyDescent="0.2">
      <c r="A146" s="1">
        <v>45513</v>
      </c>
      <c r="B146" t="s">
        <v>13</v>
      </c>
      <c r="C146" t="s">
        <v>23</v>
      </c>
      <c r="D146" t="s">
        <v>18</v>
      </c>
      <c r="E146">
        <v>2051</v>
      </c>
      <c r="F146">
        <v>1.2</v>
      </c>
      <c r="G146">
        <v>1</v>
      </c>
      <c r="H146">
        <v>2461.1999999999998</v>
      </c>
      <c r="I146">
        <v>2051</v>
      </c>
      <c r="J146">
        <v>410.19999999999902</v>
      </c>
      <c r="K146">
        <f>Table1[[#This Row],[Liters_Sold]]</f>
        <v>2051</v>
      </c>
      <c r="L146">
        <f>Table1[[#This Row],[Delivery volume]]*0.05</f>
        <v>102.55000000000001</v>
      </c>
      <c r="M146" s="16">
        <f>Table1[[#This Row],[Delivery Cost]]/Table1[[#This Row],[Revenue]]</f>
        <v>4.1666666666666671E-2</v>
      </c>
      <c r="N146" t="str">
        <f t="shared" si="2"/>
        <v>Aug</v>
      </c>
    </row>
    <row r="147" spans="1:14" x14ac:dyDescent="0.2">
      <c r="A147" s="1">
        <v>45522</v>
      </c>
      <c r="B147" t="s">
        <v>25</v>
      </c>
      <c r="C147" t="s">
        <v>11</v>
      </c>
      <c r="D147" t="s">
        <v>18</v>
      </c>
      <c r="E147">
        <v>4933</v>
      </c>
      <c r="F147">
        <v>1.2</v>
      </c>
      <c r="G147">
        <v>1</v>
      </c>
      <c r="H147">
        <v>5919.5999999999904</v>
      </c>
      <c r="I147">
        <v>4933</v>
      </c>
      <c r="J147">
        <v>986.599999999999</v>
      </c>
      <c r="K147">
        <f>Table1[[#This Row],[Liters_Sold]]</f>
        <v>4933</v>
      </c>
      <c r="L147">
        <f>Table1[[#This Row],[Delivery volume]]*0.05</f>
        <v>246.65</v>
      </c>
      <c r="M147" s="16">
        <f>Table1[[#This Row],[Delivery Cost]]/Table1[[#This Row],[Revenue]]</f>
        <v>4.1666666666666734E-2</v>
      </c>
      <c r="N147" t="str">
        <f t="shared" si="2"/>
        <v>Aug</v>
      </c>
    </row>
    <row r="148" spans="1:14" x14ac:dyDescent="0.2">
      <c r="A148" s="1">
        <v>45528</v>
      </c>
      <c r="B148" t="s">
        <v>10</v>
      </c>
      <c r="C148" t="s">
        <v>29</v>
      </c>
      <c r="D148" t="s">
        <v>12</v>
      </c>
      <c r="E148">
        <v>2129</v>
      </c>
      <c r="F148">
        <v>1.25</v>
      </c>
      <c r="G148">
        <v>1.05</v>
      </c>
      <c r="H148">
        <v>2661.25</v>
      </c>
      <c r="I148">
        <v>2235.4499999999998</v>
      </c>
      <c r="J148">
        <v>425.79999999999899</v>
      </c>
      <c r="K148">
        <f>Table1[[#This Row],[Liters_Sold]]</f>
        <v>2129</v>
      </c>
      <c r="L148">
        <f>Table1[[#This Row],[Delivery volume]]*0.05</f>
        <v>106.45</v>
      </c>
      <c r="M148" s="16">
        <f>Table1[[#This Row],[Delivery Cost]]/Table1[[#This Row],[Revenue]]</f>
        <v>0.04</v>
      </c>
      <c r="N148" t="str">
        <f t="shared" si="2"/>
        <v>Aug</v>
      </c>
    </row>
    <row r="149" spans="1:14" x14ac:dyDescent="0.2">
      <c r="A149" s="1">
        <v>45434</v>
      </c>
      <c r="B149" t="s">
        <v>15</v>
      </c>
      <c r="C149" t="s">
        <v>11</v>
      </c>
      <c r="D149" t="s">
        <v>18</v>
      </c>
      <c r="E149">
        <v>1827</v>
      </c>
      <c r="F149">
        <v>1.2</v>
      </c>
      <c r="G149">
        <v>1</v>
      </c>
      <c r="H149">
        <v>2192.4</v>
      </c>
      <c r="I149">
        <v>1827</v>
      </c>
      <c r="J149">
        <v>365.4</v>
      </c>
      <c r="K149">
        <f>Table1[[#This Row],[Liters_Sold]]</f>
        <v>1827</v>
      </c>
      <c r="L149">
        <f>Table1[[#This Row],[Delivery volume]]*0.05</f>
        <v>91.350000000000009</v>
      </c>
      <c r="M149" s="16">
        <f>Table1[[#This Row],[Delivery Cost]]/Table1[[#This Row],[Revenue]]</f>
        <v>4.1666666666666671E-2</v>
      </c>
      <c r="N149" t="str">
        <f t="shared" si="2"/>
        <v>May</v>
      </c>
    </row>
    <row r="150" spans="1:14" x14ac:dyDescent="0.2">
      <c r="A150" s="1">
        <v>45462</v>
      </c>
      <c r="B150" t="s">
        <v>25</v>
      </c>
      <c r="C150" t="s">
        <v>20</v>
      </c>
      <c r="D150" t="s">
        <v>12</v>
      </c>
      <c r="E150">
        <v>2026</v>
      </c>
      <c r="F150">
        <v>1.25</v>
      </c>
      <c r="G150">
        <v>1.05</v>
      </c>
      <c r="H150">
        <v>2532.5</v>
      </c>
      <c r="I150">
        <v>2127.3000000000002</v>
      </c>
      <c r="J150">
        <v>405.19999999999902</v>
      </c>
      <c r="K150">
        <f>Table1[[#This Row],[Liters_Sold]]</f>
        <v>2026</v>
      </c>
      <c r="L150">
        <f>Table1[[#This Row],[Delivery volume]]*0.05</f>
        <v>101.30000000000001</v>
      </c>
      <c r="M150" s="16">
        <f>Table1[[#This Row],[Delivery Cost]]/Table1[[#This Row],[Revenue]]</f>
        <v>4.0000000000000008E-2</v>
      </c>
      <c r="N150" t="str">
        <f t="shared" si="2"/>
        <v>Jun</v>
      </c>
    </row>
    <row r="151" spans="1:14" x14ac:dyDescent="0.2">
      <c r="A151" s="1">
        <v>45320</v>
      </c>
      <c r="B151" t="s">
        <v>27</v>
      </c>
      <c r="C151" t="s">
        <v>11</v>
      </c>
      <c r="D151" t="s">
        <v>14</v>
      </c>
      <c r="E151">
        <v>2173</v>
      </c>
      <c r="F151">
        <v>0.9</v>
      </c>
      <c r="G151">
        <v>0.7</v>
      </c>
      <c r="H151">
        <v>1955.7</v>
      </c>
      <c r="I151">
        <v>1521.1</v>
      </c>
      <c r="J151">
        <v>434.6</v>
      </c>
      <c r="K151">
        <f>Table1[[#This Row],[Liters_Sold]]</f>
        <v>2173</v>
      </c>
      <c r="L151">
        <f>Table1[[#This Row],[Delivery volume]]*0.05</f>
        <v>108.65</v>
      </c>
      <c r="M151" s="16">
        <f>Table1[[#This Row],[Delivery Cost]]/Table1[[#This Row],[Revenue]]</f>
        <v>5.5555555555555559E-2</v>
      </c>
      <c r="N151" t="str">
        <f t="shared" si="2"/>
        <v>Jan</v>
      </c>
    </row>
    <row r="152" spans="1:14" x14ac:dyDescent="0.2">
      <c r="A152" s="1">
        <v>45327</v>
      </c>
      <c r="B152" t="s">
        <v>15</v>
      </c>
      <c r="C152" t="s">
        <v>20</v>
      </c>
      <c r="D152" t="s">
        <v>18</v>
      </c>
      <c r="E152">
        <v>1861</v>
      </c>
      <c r="F152">
        <v>1.2</v>
      </c>
      <c r="G152">
        <v>1</v>
      </c>
      <c r="H152">
        <v>2233.1999999999998</v>
      </c>
      <c r="I152">
        <v>1861</v>
      </c>
      <c r="J152">
        <v>372.19999999999902</v>
      </c>
      <c r="K152">
        <f>Table1[[#This Row],[Liters_Sold]]</f>
        <v>1861</v>
      </c>
      <c r="L152">
        <f>Table1[[#This Row],[Delivery volume]]*0.05</f>
        <v>93.050000000000011</v>
      </c>
      <c r="M152" s="16">
        <f>Table1[[#This Row],[Delivery Cost]]/Table1[[#This Row],[Revenue]]</f>
        <v>4.1666666666666678E-2</v>
      </c>
      <c r="N152" t="str">
        <f t="shared" si="2"/>
        <v>Feb</v>
      </c>
    </row>
    <row r="153" spans="1:14" x14ac:dyDescent="0.2">
      <c r="A153" s="1">
        <v>45304</v>
      </c>
      <c r="B153" t="s">
        <v>10</v>
      </c>
      <c r="C153" t="s">
        <v>20</v>
      </c>
      <c r="D153" t="s">
        <v>12</v>
      </c>
      <c r="E153">
        <v>2073</v>
      </c>
      <c r="F153">
        <v>1.25</v>
      </c>
      <c r="G153">
        <v>1.05</v>
      </c>
      <c r="H153">
        <v>2591.25</v>
      </c>
      <c r="I153">
        <v>2176.65</v>
      </c>
      <c r="J153">
        <v>414.599999999999</v>
      </c>
      <c r="K153">
        <f>Table1[[#This Row],[Liters_Sold]]</f>
        <v>2073</v>
      </c>
      <c r="L153">
        <f>Table1[[#This Row],[Delivery volume]]*0.05</f>
        <v>103.65</v>
      </c>
      <c r="M153" s="16">
        <f>Table1[[#This Row],[Delivery Cost]]/Table1[[#This Row],[Revenue]]</f>
        <v>0.04</v>
      </c>
      <c r="N153" t="str">
        <f t="shared" si="2"/>
        <v>Jan</v>
      </c>
    </row>
    <row r="154" spans="1:14" x14ac:dyDescent="0.2">
      <c r="A154" s="1">
        <v>45451</v>
      </c>
      <c r="B154" t="s">
        <v>13</v>
      </c>
      <c r="C154" t="s">
        <v>20</v>
      </c>
      <c r="D154" t="s">
        <v>18</v>
      </c>
      <c r="E154">
        <v>3186</v>
      </c>
      <c r="F154">
        <v>1.2</v>
      </c>
      <c r="G154">
        <v>1</v>
      </c>
      <c r="H154">
        <v>3823.2</v>
      </c>
      <c r="I154">
        <v>3186</v>
      </c>
      <c r="J154">
        <v>637.19999999999902</v>
      </c>
      <c r="K154">
        <f>Table1[[#This Row],[Liters_Sold]]</f>
        <v>3186</v>
      </c>
      <c r="L154">
        <f>Table1[[#This Row],[Delivery volume]]*0.05</f>
        <v>159.30000000000001</v>
      </c>
      <c r="M154" s="16">
        <f>Table1[[#This Row],[Delivery Cost]]/Table1[[#This Row],[Revenue]]</f>
        <v>4.1666666666666671E-2</v>
      </c>
      <c r="N154" t="str">
        <f t="shared" si="2"/>
        <v>Jun</v>
      </c>
    </row>
    <row r="155" spans="1:14" x14ac:dyDescent="0.2">
      <c r="A155" s="1">
        <v>45618</v>
      </c>
      <c r="B155" t="s">
        <v>30</v>
      </c>
      <c r="C155" t="s">
        <v>20</v>
      </c>
      <c r="D155" t="s">
        <v>12</v>
      </c>
      <c r="E155">
        <v>4870</v>
      </c>
      <c r="F155">
        <v>1.25</v>
      </c>
      <c r="G155">
        <v>1.05</v>
      </c>
      <c r="H155">
        <v>6087.5</v>
      </c>
      <c r="I155">
        <v>5113.5</v>
      </c>
      <c r="J155">
        <v>974</v>
      </c>
      <c r="K155">
        <f>Table1[[#This Row],[Liters_Sold]]</f>
        <v>4870</v>
      </c>
      <c r="L155">
        <f>Table1[[#This Row],[Delivery volume]]*0.05</f>
        <v>243.5</v>
      </c>
      <c r="M155" s="16">
        <f>Table1[[#This Row],[Delivery Cost]]/Table1[[#This Row],[Revenue]]</f>
        <v>0.04</v>
      </c>
      <c r="N155" t="str">
        <f t="shared" si="2"/>
        <v>Nov</v>
      </c>
    </row>
    <row r="156" spans="1:14" x14ac:dyDescent="0.2">
      <c r="A156" s="1">
        <v>45478</v>
      </c>
      <c r="B156" t="s">
        <v>15</v>
      </c>
      <c r="C156" t="s">
        <v>20</v>
      </c>
      <c r="D156" t="s">
        <v>18</v>
      </c>
      <c r="E156">
        <v>5783</v>
      </c>
      <c r="F156">
        <v>1.2</v>
      </c>
      <c r="G156">
        <v>1</v>
      </c>
      <c r="H156">
        <v>6939.5999999999904</v>
      </c>
      <c r="I156">
        <v>5783</v>
      </c>
      <c r="J156">
        <v>1156.5999999999899</v>
      </c>
      <c r="K156">
        <f>Table1[[#This Row],[Liters_Sold]]</f>
        <v>5783</v>
      </c>
      <c r="L156">
        <f>Table1[[#This Row],[Delivery volume]]*0.05</f>
        <v>289.15000000000003</v>
      </c>
      <c r="M156" s="16">
        <f>Table1[[#This Row],[Delivery Cost]]/Table1[[#This Row],[Revenue]]</f>
        <v>4.1666666666666727E-2</v>
      </c>
      <c r="N156" t="str">
        <f t="shared" si="2"/>
        <v>Jul</v>
      </c>
    </row>
    <row r="157" spans="1:14" x14ac:dyDescent="0.2">
      <c r="A157" s="1">
        <v>45534</v>
      </c>
      <c r="B157" t="s">
        <v>24</v>
      </c>
      <c r="C157" t="s">
        <v>29</v>
      </c>
      <c r="D157" t="s">
        <v>12</v>
      </c>
      <c r="E157">
        <v>2866</v>
      </c>
      <c r="F157">
        <v>1.25</v>
      </c>
      <c r="G157">
        <v>1.05</v>
      </c>
      <c r="H157">
        <v>3582.5</v>
      </c>
      <c r="I157">
        <v>3009.3</v>
      </c>
      <c r="J157">
        <v>573.19999999999902</v>
      </c>
      <c r="K157">
        <f>Table1[[#This Row],[Liters_Sold]]</f>
        <v>2866</v>
      </c>
      <c r="L157">
        <f>Table1[[#This Row],[Delivery volume]]*0.05</f>
        <v>143.30000000000001</v>
      </c>
      <c r="M157" s="16">
        <f>Table1[[#This Row],[Delivery Cost]]/Table1[[#This Row],[Revenue]]</f>
        <v>0.04</v>
      </c>
      <c r="N157" t="str">
        <f t="shared" si="2"/>
        <v>Aug</v>
      </c>
    </row>
    <row r="158" spans="1:14" x14ac:dyDescent="0.2">
      <c r="A158" s="1">
        <v>45377</v>
      </c>
      <c r="B158" t="s">
        <v>16</v>
      </c>
      <c r="C158" t="s">
        <v>23</v>
      </c>
      <c r="D158" t="s">
        <v>12</v>
      </c>
      <c r="E158">
        <v>4257</v>
      </c>
      <c r="F158">
        <v>1.25</v>
      </c>
      <c r="G158">
        <v>1.05</v>
      </c>
      <c r="H158">
        <v>5321.25</v>
      </c>
      <c r="I158">
        <v>4469.8500000000004</v>
      </c>
      <c r="J158">
        <v>851.39999999999895</v>
      </c>
      <c r="K158">
        <f>Table1[[#This Row],[Liters_Sold]]</f>
        <v>4257</v>
      </c>
      <c r="L158">
        <f>Table1[[#This Row],[Delivery volume]]*0.05</f>
        <v>212.85000000000002</v>
      </c>
      <c r="M158" s="16">
        <f>Table1[[#This Row],[Delivery Cost]]/Table1[[#This Row],[Revenue]]</f>
        <v>0.04</v>
      </c>
      <c r="N158" t="str">
        <f t="shared" si="2"/>
        <v>Mar</v>
      </c>
    </row>
    <row r="159" spans="1:14" x14ac:dyDescent="0.2">
      <c r="A159" s="1">
        <v>45575</v>
      </c>
      <c r="B159" t="s">
        <v>10</v>
      </c>
      <c r="C159" t="s">
        <v>17</v>
      </c>
      <c r="D159" t="s">
        <v>14</v>
      </c>
      <c r="E159">
        <v>2934</v>
      </c>
      <c r="F159">
        <v>0.9</v>
      </c>
      <c r="G159">
        <v>0.7</v>
      </c>
      <c r="H159">
        <v>2640.6</v>
      </c>
      <c r="I159">
        <v>2053.7999999999902</v>
      </c>
      <c r="J159">
        <v>586.79999999999995</v>
      </c>
      <c r="K159">
        <f>Table1[[#This Row],[Liters_Sold]]</f>
        <v>2934</v>
      </c>
      <c r="L159">
        <f>Table1[[#This Row],[Delivery volume]]*0.05</f>
        <v>146.70000000000002</v>
      </c>
      <c r="M159" s="16">
        <f>Table1[[#This Row],[Delivery Cost]]/Table1[[#This Row],[Revenue]]</f>
        <v>5.5555555555555566E-2</v>
      </c>
      <c r="N159" t="str">
        <f t="shared" si="2"/>
        <v>Oct</v>
      </c>
    </row>
    <row r="160" spans="1:14" x14ac:dyDescent="0.2">
      <c r="A160" s="1">
        <v>45357</v>
      </c>
      <c r="B160" t="s">
        <v>19</v>
      </c>
      <c r="C160" t="s">
        <v>23</v>
      </c>
      <c r="D160" t="s">
        <v>12</v>
      </c>
      <c r="E160">
        <v>2493</v>
      </c>
      <c r="F160">
        <v>1.25</v>
      </c>
      <c r="G160">
        <v>1.05</v>
      </c>
      <c r="H160">
        <v>3116.25</v>
      </c>
      <c r="I160">
        <v>2617.65</v>
      </c>
      <c r="J160">
        <v>498.599999999999</v>
      </c>
      <c r="K160">
        <f>Table1[[#This Row],[Liters_Sold]]</f>
        <v>2493</v>
      </c>
      <c r="L160">
        <f>Table1[[#This Row],[Delivery volume]]*0.05</f>
        <v>124.65</v>
      </c>
      <c r="M160" s="16">
        <f>Table1[[#This Row],[Delivery Cost]]/Table1[[#This Row],[Revenue]]</f>
        <v>0.04</v>
      </c>
      <c r="N160" t="str">
        <f t="shared" si="2"/>
        <v>Mar</v>
      </c>
    </row>
    <row r="161" spans="1:14" x14ac:dyDescent="0.2">
      <c r="A161" s="1">
        <v>45461</v>
      </c>
      <c r="B161" t="s">
        <v>19</v>
      </c>
      <c r="C161" t="s">
        <v>20</v>
      </c>
      <c r="D161" t="s">
        <v>18</v>
      </c>
      <c r="E161">
        <v>1369</v>
      </c>
      <c r="F161">
        <v>1.2</v>
      </c>
      <c r="G161">
        <v>1</v>
      </c>
      <c r="H161">
        <v>1642.8</v>
      </c>
      <c r="I161">
        <v>1369</v>
      </c>
      <c r="J161">
        <v>273.79999999999899</v>
      </c>
      <c r="K161">
        <f>Table1[[#This Row],[Liters_Sold]]</f>
        <v>1369</v>
      </c>
      <c r="L161">
        <f>Table1[[#This Row],[Delivery volume]]*0.05</f>
        <v>68.45</v>
      </c>
      <c r="M161" s="16">
        <f>Table1[[#This Row],[Delivery Cost]]/Table1[[#This Row],[Revenue]]</f>
        <v>4.1666666666666671E-2</v>
      </c>
      <c r="N161" t="str">
        <f t="shared" si="2"/>
        <v>Jun</v>
      </c>
    </row>
    <row r="162" spans="1:14" x14ac:dyDescent="0.2">
      <c r="A162" s="1">
        <v>45336</v>
      </c>
      <c r="B162" t="s">
        <v>13</v>
      </c>
      <c r="C162" t="s">
        <v>29</v>
      </c>
      <c r="D162" t="s">
        <v>12</v>
      </c>
      <c r="E162">
        <v>1514</v>
      </c>
      <c r="F162">
        <v>1.25</v>
      </c>
      <c r="G162">
        <v>1.05</v>
      </c>
      <c r="H162">
        <v>1892.5</v>
      </c>
      <c r="I162">
        <v>1589.7</v>
      </c>
      <c r="J162">
        <v>302.79999999999899</v>
      </c>
      <c r="K162">
        <f>Table1[[#This Row],[Liters_Sold]]</f>
        <v>1514</v>
      </c>
      <c r="L162">
        <f>Table1[[#This Row],[Delivery volume]]*0.05</f>
        <v>75.7</v>
      </c>
      <c r="M162" s="16">
        <f>Table1[[#This Row],[Delivery Cost]]/Table1[[#This Row],[Revenue]]</f>
        <v>0.04</v>
      </c>
      <c r="N162" t="str">
        <f t="shared" si="2"/>
        <v>Feb</v>
      </c>
    </row>
    <row r="163" spans="1:14" x14ac:dyDescent="0.2">
      <c r="A163" s="1">
        <v>45353</v>
      </c>
      <c r="B163" t="s">
        <v>13</v>
      </c>
      <c r="C163" t="s">
        <v>11</v>
      </c>
      <c r="D163" t="s">
        <v>18</v>
      </c>
      <c r="E163">
        <v>2411</v>
      </c>
      <c r="F163">
        <v>1.2</v>
      </c>
      <c r="G163">
        <v>1</v>
      </c>
      <c r="H163">
        <v>2893.2</v>
      </c>
      <c r="I163">
        <v>2411</v>
      </c>
      <c r="J163">
        <v>482.19999999999902</v>
      </c>
      <c r="K163">
        <f>Table1[[#This Row],[Liters_Sold]]</f>
        <v>2411</v>
      </c>
      <c r="L163">
        <f>Table1[[#This Row],[Delivery volume]]*0.05</f>
        <v>120.55000000000001</v>
      </c>
      <c r="M163" s="16">
        <f>Table1[[#This Row],[Delivery Cost]]/Table1[[#This Row],[Revenue]]</f>
        <v>4.1666666666666671E-2</v>
      </c>
      <c r="N163" t="str">
        <f t="shared" si="2"/>
        <v>Mar</v>
      </c>
    </row>
    <row r="164" spans="1:14" x14ac:dyDescent="0.2">
      <c r="A164" s="1">
        <v>45425</v>
      </c>
      <c r="B164" t="s">
        <v>26</v>
      </c>
      <c r="C164" t="s">
        <v>29</v>
      </c>
      <c r="D164" t="s">
        <v>18</v>
      </c>
      <c r="E164">
        <v>1102</v>
      </c>
      <c r="F164">
        <v>1.2</v>
      </c>
      <c r="G164">
        <v>1</v>
      </c>
      <c r="H164">
        <v>1322.3999999999901</v>
      </c>
      <c r="I164">
        <v>1102</v>
      </c>
      <c r="J164">
        <v>220.39999999999901</v>
      </c>
      <c r="K164">
        <f>Table1[[#This Row],[Liters_Sold]]</f>
        <v>1102</v>
      </c>
      <c r="L164">
        <f>Table1[[#This Row],[Delivery volume]]*0.05</f>
        <v>55.1</v>
      </c>
      <c r="M164" s="16">
        <f>Table1[[#This Row],[Delivery Cost]]/Table1[[#This Row],[Revenue]]</f>
        <v>4.1666666666666984E-2</v>
      </c>
      <c r="N164" t="str">
        <f t="shared" si="2"/>
        <v>May</v>
      </c>
    </row>
    <row r="165" spans="1:14" x14ac:dyDescent="0.2">
      <c r="A165" s="1">
        <v>45575</v>
      </c>
      <c r="B165" t="s">
        <v>16</v>
      </c>
      <c r="C165" t="s">
        <v>20</v>
      </c>
      <c r="D165" t="s">
        <v>18</v>
      </c>
      <c r="E165">
        <v>4321</v>
      </c>
      <c r="F165">
        <v>1.2</v>
      </c>
      <c r="G165">
        <v>1</v>
      </c>
      <c r="H165">
        <v>5185.2</v>
      </c>
      <c r="I165">
        <v>4321</v>
      </c>
      <c r="J165">
        <v>864.19999999999902</v>
      </c>
      <c r="K165">
        <f>Table1[[#This Row],[Liters_Sold]]</f>
        <v>4321</v>
      </c>
      <c r="L165">
        <f>Table1[[#This Row],[Delivery volume]]*0.05</f>
        <v>216.05</v>
      </c>
      <c r="M165" s="16">
        <f>Table1[[#This Row],[Delivery Cost]]/Table1[[#This Row],[Revenue]]</f>
        <v>4.1666666666666671E-2</v>
      </c>
      <c r="N165" t="str">
        <f t="shared" si="2"/>
        <v>Oct</v>
      </c>
    </row>
    <row r="166" spans="1:14" x14ac:dyDescent="0.2">
      <c r="A166" s="1">
        <v>45319</v>
      </c>
      <c r="B166" t="s">
        <v>16</v>
      </c>
      <c r="C166" t="s">
        <v>29</v>
      </c>
      <c r="D166" t="s">
        <v>12</v>
      </c>
      <c r="E166">
        <v>1190</v>
      </c>
      <c r="F166">
        <v>1.25</v>
      </c>
      <c r="G166">
        <v>1.05</v>
      </c>
      <c r="H166">
        <v>1487.5</v>
      </c>
      <c r="I166">
        <v>1249.5</v>
      </c>
      <c r="J166">
        <v>238</v>
      </c>
      <c r="K166">
        <f>Table1[[#This Row],[Liters_Sold]]</f>
        <v>1190</v>
      </c>
      <c r="L166">
        <f>Table1[[#This Row],[Delivery volume]]*0.05</f>
        <v>59.5</v>
      </c>
      <c r="M166" s="16">
        <f>Table1[[#This Row],[Delivery Cost]]/Table1[[#This Row],[Revenue]]</f>
        <v>0.04</v>
      </c>
      <c r="N166" t="str">
        <f t="shared" si="2"/>
        <v>Jan</v>
      </c>
    </row>
    <row r="167" spans="1:14" x14ac:dyDescent="0.2">
      <c r="A167" s="1">
        <v>45399</v>
      </c>
      <c r="B167" t="s">
        <v>27</v>
      </c>
      <c r="C167" t="s">
        <v>29</v>
      </c>
      <c r="D167" t="s">
        <v>12</v>
      </c>
      <c r="E167">
        <v>993</v>
      </c>
      <c r="F167">
        <v>1.25</v>
      </c>
      <c r="G167">
        <v>1.05</v>
      </c>
      <c r="H167">
        <v>1241.25</v>
      </c>
      <c r="I167">
        <v>1042.6500000000001</v>
      </c>
      <c r="J167">
        <v>198.599999999999</v>
      </c>
      <c r="K167">
        <f>Table1[[#This Row],[Liters_Sold]]</f>
        <v>993</v>
      </c>
      <c r="L167">
        <f>Table1[[#This Row],[Delivery volume]]*0.05</f>
        <v>49.650000000000006</v>
      </c>
      <c r="M167" s="16">
        <f>Table1[[#This Row],[Delivery Cost]]/Table1[[#This Row],[Revenue]]</f>
        <v>4.0000000000000008E-2</v>
      </c>
      <c r="N167" t="str">
        <f t="shared" si="2"/>
        <v>Apr</v>
      </c>
    </row>
    <row r="168" spans="1:14" x14ac:dyDescent="0.2">
      <c r="A168" s="1">
        <v>45335</v>
      </c>
      <c r="B168" t="s">
        <v>13</v>
      </c>
      <c r="C168" t="s">
        <v>20</v>
      </c>
      <c r="D168" t="s">
        <v>12</v>
      </c>
      <c r="E168">
        <v>989</v>
      </c>
      <c r="F168">
        <v>1.25</v>
      </c>
      <c r="G168">
        <v>1.05</v>
      </c>
      <c r="H168">
        <v>1236.25</v>
      </c>
      <c r="I168">
        <v>1038.45</v>
      </c>
      <c r="J168">
        <v>197.79999999999899</v>
      </c>
      <c r="K168">
        <f>Table1[[#This Row],[Liters_Sold]]</f>
        <v>989</v>
      </c>
      <c r="L168">
        <f>Table1[[#This Row],[Delivery volume]]*0.05</f>
        <v>49.45</v>
      </c>
      <c r="M168" s="16">
        <f>Table1[[#This Row],[Delivery Cost]]/Table1[[#This Row],[Revenue]]</f>
        <v>0.04</v>
      </c>
      <c r="N168" t="str">
        <f t="shared" si="2"/>
        <v>Feb</v>
      </c>
    </row>
    <row r="169" spans="1:14" x14ac:dyDescent="0.2">
      <c r="A169" s="1">
        <v>45631</v>
      </c>
      <c r="B169" t="s">
        <v>16</v>
      </c>
      <c r="C169" t="s">
        <v>29</v>
      </c>
      <c r="D169" t="s">
        <v>12</v>
      </c>
      <c r="E169">
        <v>3056</v>
      </c>
      <c r="F169">
        <v>1.25</v>
      </c>
      <c r="G169">
        <v>1.05</v>
      </c>
      <c r="H169">
        <v>3820</v>
      </c>
      <c r="I169">
        <v>3208.8</v>
      </c>
      <c r="J169">
        <v>611.19999999999902</v>
      </c>
      <c r="K169">
        <f>Table1[[#This Row],[Liters_Sold]]</f>
        <v>3056</v>
      </c>
      <c r="L169">
        <f>Table1[[#This Row],[Delivery volume]]*0.05</f>
        <v>152.80000000000001</v>
      </c>
      <c r="M169" s="16">
        <f>Table1[[#This Row],[Delivery Cost]]/Table1[[#This Row],[Revenue]]</f>
        <v>0.04</v>
      </c>
      <c r="N169" t="str">
        <f t="shared" si="2"/>
        <v>Dec</v>
      </c>
    </row>
    <row r="170" spans="1:14" x14ac:dyDescent="0.2">
      <c r="A170" s="1">
        <v>45577</v>
      </c>
      <c r="B170" t="s">
        <v>32</v>
      </c>
      <c r="C170" t="s">
        <v>17</v>
      </c>
      <c r="D170" t="s">
        <v>18</v>
      </c>
      <c r="E170">
        <v>4985</v>
      </c>
      <c r="F170">
        <v>1.2</v>
      </c>
      <c r="G170">
        <v>1</v>
      </c>
      <c r="H170">
        <v>5982</v>
      </c>
      <c r="I170">
        <v>4985</v>
      </c>
      <c r="J170">
        <v>997</v>
      </c>
      <c r="K170">
        <f>Table1[[#This Row],[Liters_Sold]]</f>
        <v>4985</v>
      </c>
      <c r="L170">
        <f>Table1[[#This Row],[Delivery volume]]*0.05</f>
        <v>249.25</v>
      </c>
      <c r="M170" s="16">
        <f>Table1[[#This Row],[Delivery Cost]]/Table1[[#This Row],[Revenue]]</f>
        <v>4.1666666666666664E-2</v>
      </c>
      <c r="N170" t="str">
        <f t="shared" si="2"/>
        <v>Oct</v>
      </c>
    </row>
    <row r="171" spans="1:14" x14ac:dyDescent="0.2">
      <c r="A171" s="1">
        <v>45622</v>
      </c>
      <c r="B171" t="s">
        <v>26</v>
      </c>
      <c r="C171" t="s">
        <v>17</v>
      </c>
      <c r="D171" t="s">
        <v>14</v>
      </c>
      <c r="E171">
        <v>794</v>
      </c>
      <c r="F171">
        <v>0.9</v>
      </c>
      <c r="G171">
        <v>0.7</v>
      </c>
      <c r="H171">
        <v>714.6</v>
      </c>
      <c r="I171">
        <v>555.79999999999995</v>
      </c>
      <c r="J171">
        <v>158.80000000000001</v>
      </c>
      <c r="K171">
        <f>Table1[[#This Row],[Liters_Sold]]</f>
        <v>794</v>
      </c>
      <c r="L171">
        <f>Table1[[#This Row],[Delivery volume]]*0.05</f>
        <v>39.700000000000003</v>
      </c>
      <c r="M171" s="16">
        <f>Table1[[#This Row],[Delivery Cost]]/Table1[[#This Row],[Revenue]]</f>
        <v>5.5555555555555559E-2</v>
      </c>
      <c r="N171" t="str">
        <f t="shared" si="2"/>
        <v>Nov</v>
      </c>
    </row>
    <row r="172" spans="1:14" x14ac:dyDescent="0.2">
      <c r="A172" s="1">
        <v>45419</v>
      </c>
      <c r="B172" t="s">
        <v>25</v>
      </c>
      <c r="C172" t="s">
        <v>29</v>
      </c>
      <c r="D172" t="s">
        <v>14</v>
      </c>
      <c r="E172">
        <v>5988</v>
      </c>
      <c r="F172">
        <v>0.9</v>
      </c>
      <c r="G172">
        <v>0.7</v>
      </c>
      <c r="H172">
        <v>5389.2</v>
      </c>
      <c r="I172">
        <v>4191.5999999999904</v>
      </c>
      <c r="J172">
        <v>1197.5999999999999</v>
      </c>
      <c r="K172">
        <f>Table1[[#This Row],[Liters_Sold]]</f>
        <v>5988</v>
      </c>
      <c r="L172">
        <f>Table1[[#This Row],[Delivery volume]]*0.05</f>
        <v>299.40000000000003</v>
      </c>
      <c r="M172" s="16">
        <f>Table1[[#This Row],[Delivery Cost]]/Table1[[#This Row],[Revenue]]</f>
        <v>5.5555555555555566E-2</v>
      </c>
      <c r="N172" t="str">
        <f t="shared" si="2"/>
        <v>May</v>
      </c>
    </row>
    <row r="173" spans="1:14" x14ac:dyDescent="0.2">
      <c r="A173" s="1">
        <v>45639</v>
      </c>
      <c r="B173" t="s">
        <v>22</v>
      </c>
      <c r="C173" t="s">
        <v>11</v>
      </c>
      <c r="D173" t="s">
        <v>18</v>
      </c>
      <c r="E173">
        <v>4527</v>
      </c>
      <c r="F173">
        <v>1.2</v>
      </c>
      <c r="G173">
        <v>1</v>
      </c>
      <c r="H173">
        <v>5432.4</v>
      </c>
      <c r="I173">
        <v>4527</v>
      </c>
      <c r="J173">
        <v>905.39999999999895</v>
      </c>
      <c r="K173">
        <f>Table1[[#This Row],[Liters_Sold]]</f>
        <v>4527</v>
      </c>
      <c r="L173">
        <f>Table1[[#This Row],[Delivery volume]]*0.05</f>
        <v>226.35000000000002</v>
      </c>
      <c r="M173" s="16">
        <f>Table1[[#This Row],[Delivery Cost]]/Table1[[#This Row],[Revenue]]</f>
        <v>4.1666666666666671E-2</v>
      </c>
      <c r="N173" t="str">
        <f t="shared" si="2"/>
        <v>Dec</v>
      </c>
    </row>
    <row r="174" spans="1:14" x14ac:dyDescent="0.2">
      <c r="A174" s="1">
        <v>45522</v>
      </c>
      <c r="B174" t="s">
        <v>22</v>
      </c>
      <c r="C174" t="s">
        <v>20</v>
      </c>
      <c r="D174" t="s">
        <v>18</v>
      </c>
      <c r="E174">
        <v>3343</v>
      </c>
      <c r="F174">
        <v>1.2</v>
      </c>
      <c r="G174">
        <v>1</v>
      </c>
      <c r="H174">
        <v>4011.6</v>
      </c>
      <c r="I174">
        <v>3343</v>
      </c>
      <c r="J174">
        <v>668.599999999999</v>
      </c>
      <c r="K174">
        <f>Table1[[#This Row],[Liters_Sold]]</f>
        <v>3343</v>
      </c>
      <c r="L174">
        <f>Table1[[#This Row],[Delivery volume]]*0.05</f>
        <v>167.15</v>
      </c>
      <c r="M174" s="16">
        <f>Table1[[#This Row],[Delivery Cost]]/Table1[[#This Row],[Revenue]]</f>
        <v>4.1666666666666671E-2</v>
      </c>
      <c r="N174" t="str">
        <f t="shared" si="2"/>
        <v>Aug</v>
      </c>
    </row>
    <row r="175" spans="1:14" x14ac:dyDescent="0.2">
      <c r="A175" s="1">
        <v>45481</v>
      </c>
      <c r="B175" t="s">
        <v>25</v>
      </c>
      <c r="C175" t="s">
        <v>17</v>
      </c>
      <c r="D175" t="s">
        <v>18</v>
      </c>
      <c r="E175">
        <v>3412</v>
      </c>
      <c r="F175">
        <v>1.2</v>
      </c>
      <c r="G175">
        <v>1</v>
      </c>
      <c r="H175">
        <v>4094.3999999999901</v>
      </c>
      <c r="I175">
        <v>3412</v>
      </c>
      <c r="J175">
        <v>682.39999999999895</v>
      </c>
      <c r="K175">
        <f>Table1[[#This Row],[Liters_Sold]]</f>
        <v>3412</v>
      </c>
      <c r="L175">
        <f>Table1[[#This Row],[Delivery volume]]*0.05</f>
        <v>170.60000000000002</v>
      </c>
      <c r="M175" s="16">
        <f>Table1[[#This Row],[Delivery Cost]]/Table1[[#This Row],[Revenue]]</f>
        <v>4.1666666666666775E-2</v>
      </c>
      <c r="N175" t="str">
        <f t="shared" si="2"/>
        <v>Jul</v>
      </c>
    </row>
    <row r="176" spans="1:14" x14ac:dyDescent="0.2">
      <c r="A176" s="1">
        <v>45516</v>
      </c>
      <c r="B176" t="s">
        <v>28</v>
      </c>
      <c r="C176" t="s">
        <v>11</v>
      </c>
      <c r="D176" t="s">
        <v>12</v>
      </c>
      <c r="E176">
        <v>2217</v>
      </c>
      <c r="F176">
        <v>1.25</v>
      </c>
      <c r="G176">
        <v>1.05</v>
      </c>
      <c r="H176">
        <v>2771.25</v>
      </c>
      <c r="I176">
        <v>2327.85</v>
      </c>
      <c r="J176">
        <v>443.4</v>
      </c>
      <c r="K176">
        <f>Table1[[#This Row],[Liters_Sold]]</f>
        <v>2217</v>
      </c>
      <c r="L176">
        <f>Table1[[#This Row],[Delivery volume]]*0.05</f>
        <v>110.85000000000001</v>
      </c>
      <c r="M176" s="16">
        <f>Table1[[#This Row],[Delivery Cost]]/Table1[[#This Row],[Revenue]]</f>
        <v>0.04</v>
      </c>
      <c r="N176" t="str">
        <f t="shared" si="2"/>
        <v>Aug</v>
      </c>
    </row>
    <row r="177" spans="1:14" x14ac:dyDescent="0.2">
      <c r="A177" s="1">
        <v>45574</v>
      </c>
      <c r="B177" t="s">
        <v>10</v>
      </c>
      <c r="C177" t="s">
        <v>29</v>
      </c>
      <c r="D177" t="s">
        <v>14</v>
      </c>
      <c r="E177">
        <v>3096</v>
      </c>
      <c r="F177">
        <v>0.9</v>
      </c>
      <c r="G177">
        <v>0.7</v>
      </c>
      <c r="H177">
        <v>2786.4</v>
      </c>
      <c r="I177">
        <v>2167.1999999999998</v>
      </c>
      <c r="J177">
        <v>619.20000000000005</v>
      </c>
      <c r="K177">
        <f>Table1[[#This Row],[Liters_Sold]]</f>
        <v>3096</v>
      </c>
      <c r="L177">
        <f>Table1[[#This Row],[Delivery volume]]*0.05</f>
        <v>154.80000000000001</v>
      </c>
      <c r="M177" s="16">
        <f>Table1[[#This Row],[Delivery Cost]]/Table1[[#This Row],[Revenue]]</f>
        <v>5.5555555555555559E-2</v>
      </c>
      <c r="N177" t="str">
        <f t="shared" si="2"/>
        <v>Oct</v>
      </c>
    </row>
    <row r="178" spans="1:14" x14ac:dyDescent="0.2">
      <c r="A178" s="1">
        <v>45412</v>
      </c>
      <c r="B178" t="s">
        <v>26</v>
      </c>
      <c r="C178" t="s">
        <v>11</v>
      </c>
      <c r="D178" t="s">
        <v>18</v>
      </c>
      <c r="E178">
        <v>5244</v>
      </c>
      <c r="F178">
        <v>1.2</v>
      </c>
      <c r="G178">
        <v>1</v>
      </c>
      <c r="H178">
        <v>6292.8</v>
      </c>
      <c r="I178">
        <v>5244</v>
      </c>
      <c r="J178">
        <v>1048.8</v>
      </c>
      <c r="K178">
        <f>Table1[[#This Row],[Liters_Sold]]</f>
        <v>5244</v>
      </c>
      <c r="L178">
        <f>Table1[[#This Row],[Delivery volume]]*0.05</f>
        <v>262.2</v>
      </c>
      <c r="M178" s="16">
        <f>Table1[[#This Row],[Delivery Cost]]/Table1[[#This Row],[Revenue]]</f>
        <v>4.1666666666666664E-2</v>
      </c>
      <c r="N178" t="str">
        <f t="shared" si="2"/>
        <v>Apr</v>
      </c>
    </row>
    <row r="179" spans="1:14" x14ac:dyDescent="0.2">
      <c r="A179" s="1">
        <v>45407</v>
      </c>
      <c r="B179" t="s">
        <v>32</v>
      </c>
      <c r="C179" t="s">
        <v>23</v>
      </c>
      <c r="D179" t="s">
        <v>18</v>
      </c>
      <c r="E179">
        <v>2373</v>
      </c>
      <c r="F179">
        <v>1.2</v>
      </c>
      <c r="G179">
        <v>1</v>
      </c>
      <c r="H179">
        <v>2847.6</v>
      </c>
      <c r="I179">
        <v>2373</v>
      </c>
      <c r="J179">
        <v>474.599999999999</v>
      </c>
      <c r="K179">
        <f>Table1[[#This Row],[Liters_Sold]]</f>
        <v>2373</v>
      </c>
      <c r="L179">
        <f>Table1[[#This Row],[Delivery volume]]*0.05</f>
        <v>118.65</v>
      </c>
      <c r="M179" s="16">
        <f>Table1[[#This Row],[Delivery Cost]]/Table1[[#This Row],[Revenue]]</f>
        <v>4.1666666666666671E-2</v>
      </c>
      <c r="N179" t="str">
        <f t="shared" si="2"/>
        <v>Apr</v>
      </c>
    </row>
    <row r="180" spans="1:14" x14ac:dyDescent="0.2">
      <c r="A180" s="1">
        <v>45524</v>
      </c>
      <c r="B180" t="s">
        <v>16</v>
      </c>
      <c r="C180" t="s">
        <v>17</v>
      </c>
      <c r="D180" t="s">
        <v>12</v>
      </c>
      <c r="E180">
        <v>5163</v>
      </c>
      <c r="F180">
        <v>1.25</v>
      </c>
      <c r="G180">
        <v>1.05</v>
      </c>
      <c r="H180">
        <v>6453.75</v>
      </c>
      <c r="I180">
        <v>5421.15</v>
      </c>
      <c r="J180">
        <v>1032.5999999999899</v>
      </c>
      <c r="K180">
        <f>Table1[[#This Row],[Liters_Sold]]</f>
        <v>5163</v>
      </c>
      <c r="L180">
        <f>Table1[[#This Row],[Delivery volume]]*0.05</f>
        <v>258.15000000000003</v>
      </c>
      <c r="M180" s="16">
        <f>Table1[[#This Row],[Delivery Cost]]/Table1[[#This Row],[Revenue]]</f>
        <v>4.0000000000000008E-2</v>
      </c>
      <c r="N180" t="str">
        <f t="shared" si="2"/>
        <v>Aug</v>
      </c>
    </row>
    <row r="181" spans="1:14" x14ac:dyDescent="0.2">
      <c r="A181" s="1">
        <v>45550</v>
      </c>
      <c r="B181" t="s">
        <v>30</v>
      </c>
      <c r="C181" t="s">
        <v>29</v>
      </c>
      <c r="D181" t="s">
        <v>12</v>
      </c>
      <c r="E181">
        <v>3758</v>
      </c>
      <c r="F181">
        <v>1.25</v>
      </c>
      <c r="G181">
        <v>1.05</v>
      </c>
      <c r="H181">
        <v>4697.5</v>
      </c>
      <c r="I181">
        <v>3945.9</v>
      </c>
      <c r="J181">
        <v>751.599999999999</v>
      </c>
      <c r="K181">
        <f>Table1[[#This Row],[Liters_Sold]]</f>
        <v>3758</v>
      </c>
      <c r="L181">
        <f>Table1[[#This Row],[Delivery volume]]*0.05</f>
        <v>187.9</v>
      </c>
      <c r="M181" s="16">
        <f>Table1[[#This Row],[Delivery Cost]]/Table1[[#This Row],[Revenue]]</f>
        <v>0.04</v>
      </c>
      <c r="N181" t="str">
        <f t="shared" si="2"/>
        <v>Sep</v>
      </c>
    </row>
    <row r="182" spans="1:14" x14ac:dyDescent="0.2">
      <c r="A182" s="1">
        <v>45650</v>
      </c>
      <c r="B182" t="s">
        <v>26</v>
      </c>
      <c r="C182" t="s">
        <v>20</v>
      </c>
      <c r="D182" t="s">
        <v>12</v>
      </c>
      <c r="E182">
        <v>3317</v>
      </c>
      <c r="F182">
        <v>1.25</v>
      </c>
      <c r="G182">
        <v>1.05</v>
      </c>
      <c r="H182">
        <v>4146.25</v>
      </c>
      <c r="I182">
        <v>3482.85</v>
      </c>
      <c r="J182">
        <v>663.39999999999895</v>
      </c>
      <c r="K182">
        <f>Table1[[#This Row],[Liters_Sold]]</f>
        <v>3317</v>
      </c>
      <c r="L182">
        <f>Table1[[#This Row],[Delivery volume]]*0.05</f>
        <v>165.85000000000002</v>
      </c>
      <c r="M182" s="16">
        <f>Table1[[#This Row],[Delivery Cost]]/Table1[[#This Row],[Revenue]]</f>
        <v>4.0000000000000008E-2</v>
      </c>
      <c r="N182" t="str">
        <f t="shared" si="2"/>
        <v>Dec</v>
      </c>
    </row>
    <row r="183" spans="1:14" x14ac:dyDescent="0.2">
      <c r="A183" s="1">
        <v>45489</v>
      </c>
      <c r="B183" t="s">
        <v>15</v>
      </c>
      <c r="C183" t="s">
        <v>29</v>
      </c>
      <c r="D183" t="s">
        <v>14</v>
      </c>
      <c r="E183">
        <v>944</v>
      </c>
      <c r="F183">
        <v>0.9</v>
      </c>
      <c r="G183">
        <v>0.7</v>
      </c>
      <c r="H183">
        <v>849.6</v>
      </c>
      <c r="I183">
        <v>660.8</v>
      </c>
      <c r="J183">
        <v>188.8</v>
      </c>
      <c r="K183">
        <f>Table1[[#This Row],[Liters_Sold]]</f>
        <v>944</v>
      </c>
      <c r="L183">
        <f>Table1[[#This Row],[Delivery volume]]*0.05</f>
        <v>47.2</v>
      </c>
      <c r="M183" s="16">
        <f>Table1[[#This Row],[Delivery Cost]]/Table1[[#This Row],[Revenue]]</f>
        <v>5.5555555555555559E-2</v>
      </c>
      <c r="N183" t="str">
        <f t="shared" si="2"/>
        <v>Jul</v>
      </c>
    </row>
    <row r="184" spans="1:14" x14ac:dyDescent="0.2">
      <c r="A184" s="1">
        <v>45428</v>
      </c>
      <c r="B184" t="s">
        <v>25</v>
      </c>
      <c r="C184" t="s">
        <v>20</v>
      </c>
      <c r="D184" t="s">
        <v>18</v>
      </c>
      <c r="E184">
        <v>4141</v>
      </c>
      <c r="F184">
        <v>1.2</v>
      </c>
      <c r="G184">
        <v>1</v>
      </c>
      <c r="H184">
        <v>4969.2</v>
      </c>
      <c r="I184">
        <v>4141</v>
      </c>
      <c r="J184">
        <v>828.19999999999902</v>
      </c>
      <c r="K184">
        <f>Table1[[#This Row],[Liters_Sold]]</f>
        <v>4141</v>
      </c>
      <c r="L184">
        <f>Table1[[#This Row],[Delivery volume]]*0.05</f>
        <v>207.05</v>
      </c>
      <c r="M184" s="16">
        <f>Table1[[#This Row],[Delivery Cost]]/Table1[[#This Row],[Revenue]]</f>
        <v>4.1666666666666671E-2</v>
      </c>
      <c r="N184" t="str">
        <f t="shared" si="2"/>
        <v>May</v>
      </c>
    </row>
    <row r="185" spans="1:14" x14ac:dyDescent="0.2">
      <c r="A185" s="1">
        <v>45609</v>
      </c>
      <c r="B185" t="s">
        <v>32</v>
      </c>
      <c r="C185" t="s">
        <v>29</v>
      </c>
      <c r="D185" t="s">
        <v>12</v>
      </c>
      <c r="E185">
        <v>4958</v>
      </c>
      <c r="F185">
        <v>1.25</v>
      </c>
      <c r="G185">
        <v>1.05</v>
      </c>
      <c r="H185">
        <v>6197.5</v>
      </c>
      <c r="I185">
        <v>5205.8999999999996</v>
      </c>
      <c r="J185">
        <v>991.599999999999</v>
      </c>
      <c r="K185">
        <f>Table1[[#This Row],[Liters_Sold]]</f>
        <v>4958</v>
      </c>
      <c r="L185">
        <f>Table1[[#This Row],[Delivery volume]]*0.05</f>
        <v>247.9</v>
      </c>
      <c r="M185" s="16">
        <f>Table1[[#This Row],[Delivery Cost]]/Table1[[#This Row],[Revenue]]</f>
        <v>0.04</v>
      </c>
      <c r="N185" t="str">
        <f t="shared" si="2"/>
        <v>Nov</v>
      </c>
    </row>
    <row r="186" spans="1:14" x14ac:dyDescent="0.2">
      <c r="A186" s="1">
        <v>45456</v>
      </c>
      <c r="B186" t="s">
        <v>24</v>
      </c>
      <c r="C186" t="s">
        <v>11</v>
      </c>
      <c r="D186" t="s">
        <v>14</v>
      </c>
      <c r="E186">
        <v>5807</v>
      </c>
      <c r="F186">
        <v>0.9</v>
      </c>
      <c r="G186">
        <v>0.7</v>
      </c>
      <c r="H186">
        <v>5226.3</v>
      </c>
      <c r="I186">
        <v>4064.8999999999901</v>
      </c>
      <c r="J186">
        <v>1161.4000000000001</v>
      </c>
      <c r="K186">
        <f>Table1[[#This Row],[Liters_Sold]]</f>
        <v>5807</v>
      </c>
      <c r="L186">
        <f>Table1[[#This Row],[Delivery volume]]*0.05</f>
        <v>290.35000000000002</v>
      </c>
      <c r="M186" s="16">
        <f>Table1[[#This Row],[Delivery Cost]]/Table1[[#This Row],[Revenue]]</f>
        <v>5.5555555555555559E-2</v>
      </c>
      <c r="N186" t="str">
        <f t="shared" si="2"/>
        <v>Jun</v>
      </c>
    </row>
    <row r="187" spans="1:14" x14ac:dyDescent="0.2">
      <c r="A187" s="1">
        <v>45516</v>
      </c>
      <c r="B187" t="s">
        <v>31</v>
      </c>
      <c r="C187" t="s">
        <v>11</v>
      </c>
      <c r="D187" t="s">
        <v>12</v>
      </c>
      <c r="E187">
        <v>1241</v>
      </c>
      <c r="F187">
        <v>1.25</v>
      </c>
      <c r="G187">
        <v>1.05</v>
      </c>
      <c r="H187">
        <v>1551.25</v>
      </c>
      <c r="I187">
        <v>1303.05</v>
      </c>
      <c r="J187">
        <v>248.2</v>
      </c>
      <c r="K187">
        <f>Table1[[#This Row],[Liters_Sold]]</f>
        <v>1241</v>
      </c>
      <c r="L187">
        <f>Table1[[#This Row],[Delivery volume]]*0.05</f>
        <v>62.050000000000004</v>
      </c>
      <c r="M187" s="16">
        <f>Table1[[#This Row],[Delivery Cost]]/Table1[[#This Row],[Revenue]]</f>
        <v>0.04</v>
      </c>
      <c r="N187" t="str">
        <f t="shared" si="2"/>
        <v>Aug</v>
      </c>
    </row>
    <row r="188" spans="1:14" x14ac:dyDescent="0.2">
      <c r="A188" s="1">
        <v>45598</v>
      </c>
      <c r="B188" t="s">
        <v>21</v>
      </c>
      <c r="C188" t="s">
        <v>11</v>
      </c>
      <c r="D188" t="s">
        <v>12</v>
      </c>
      <c r="E188">
        <v>2541</v>
      </c>
      <c r="F188">
        <v>1.25</v>
      </c>
      <c r="G188">
        <v>1.05</v>
      </c>
      <c r="H188">
        <v>3176.25</v>
      </c>
      <c r="I188">
        <v>2668.05</v>
      </c>
      <c r="J188">
        <v>508.19999999999902</v>
      </c>
      <c r="K188">
        <f>Table1[[#This Row],[Liters_Sold]]</f>
        <v>2541</v>
      </c>
      <c r="L188">
        <f>Table1[[#This Row],[Delivery volume]]*0.05</f>
        <v>127.05000000000001</v>
      </c>
      <c r="M188" s="16">
        <f>Table1[[#This Row],[Delivery Cost]]/Table1[[#This Row],[Revenue]]</f>
        <v>0.04</v>
      </c>
      <c r="N188" t="str">
        <f t="shared" si="2"/>
        <v>Nov</v>
      </c>
    </row>
    <row r="189" spans="1:14" x14ac:dyDescent="0.2">
      <c r="A189" s="1">
        <v>45525</v>
      </c>
      <c r="B189" t="s">
        <v>10</v>
      </c>
      <c r="C189" t="s">
        <v>23</v>
      </c>
      <c r="D189" t="s">
        <v>12</v>
      </c>
      <c r="E189">
        <v>1179</v>
      </c>
      <c r="F189">
        <v>1.25</v>
      </c>
      <c r="G189">
        <v>1.05</v>
      </c>
      <c r="H189">
        <v>1473.75</v>
      </c>
      <c r="I189">
        <v>1237.95</v>
      </c>
      <c r="J189">
        <v>235.79999999999899</v>
      </c>
      <c r="K189">
        <f>Table1[[#This Row],[Liters_Sold]]</f>
        <v>1179</v>
      </c>
      <c r="L189">
        <f>Table1[[#This Row],[Delivery volume]]*0.05</f>
        <v>58.95</v>
      </c>
      <c r="M189" s="16">
        <f>Table1[[#This Row],[Delivery Cost]]/Table1[[#This Row],[Revenue]]</f>
        <v>0.04</v>
      </c>
      <c r="N189" t="str">
        <f t="shared" si="2"/>
        <v>Aug</v>
      </c>
    </row>
    <row r="190" spans="1:14" x14ac:dyDescent="0.2">
      <c r="A190" s="1">
        <v>45463</v>
      </c>
      <c r="B190" t="s">
        <v>25</v>
      </c>
      <c r="C190" t="s">
        <v>20</v>
      </c>
      <c r="D190" t="s">
        <v>18</v>
      </c>
      <c r="E190">
        <v>2967</v>
      </c>
      <c r="F190">
        <v>1.2</v>
      </c>
      <c r="G190">
        <v>1</v>
      </c>
      <c r="H190">
        <v>3560.4</v>
      </c>
      <c r="I190">
        <v>2967</v>
      </c>
      <c r="J190">
        <v>593.4</v>
      </c>
      <c r="K190">
        <f>Table1[[#This Row],[Liters_Sold]]</f>
        <v>2967</v>
      </c>
      <c r="L190">
        <f>Table1[[#This Row],[Delivery volume]]*0.05</f>
        <v>148.35</v>
      </c>
      <c r="M190" s="16">
        <f>Table1[[#This Row],[Delivery Cost]]/Table1[[#This Row],[Revenue]]</f>
        <v>4.1666666666666664E-2</v>
      </c>
      <c r="N190" t="str">
        <f t="shared" si="2"/>
        <v>Jun</v>
      </c>
    </row>
    <row r="191" spans="1:14" x14ac:dyDescent="0.2">
      <c r="A191" s="1">
        <v>45443</v>
      </c>
      <c r="B191" t="s">
        <v>30</v>
      </c>
      <c r="C191" t="s">
        <v>11</v>
      </c>
      <c r="D191" t="s">
        <v>14</v>
      </c>
      <c r="E191">
        <v>4197</v>
      </c>
      <c r="F191">
        <v>0.9</v>
      </c>
      <c r="G191">
        <v>0.7</v>
      </c>
      <c r="H191">
        <v>3777.3</v>
      </c>
      <c r="I191">
        <v>2937.8999999999901</v>
      </c>
      <c r="J191">
        <v>839.4</v>
      </c>
      <c r="K191">
        <f>Table1[[#This Row],[Liters_Sold]]</f>
        <v>4197</v>
      </c>
      <c r="L191">
        <f>Table1[[#This Row],[Delivery volume]]*0.05</f>
        <v>209.85000000000002</v>
      </c>
      <c r="M191" s="16">
        <f>Table1[[#This Row],[Delivery Cost]]/Table1[[#This Row],[Revenue]]</f>
        <v>5.5555555555555559E-2</v>
      </c>
      <c r="N191" t="str">
        <f t="shared" si="2"/>
        <v>May</v>
      </c>
    </row>
    <row r="192" spans="1:14" x14ac:dyDescent="0.2">
      <c r="A192" s="1">
        <v>45606</v>
      </c>
      <c r="B192" t="s">
        <v>16</v>
      </c>
      <c r="C192" t="s">
        <v>23</v>
      </c>
      <c r="D192" t="s">
        <v>12</v>
      </c>
      <c r="E192">
        <v>1858</v>
      </c>
      <c r="F192">
        <v>1.25</v>
      </c>
      <c r="G192">
        <v>1.05</v>
      </c>
      <c r="H192">
        <v>2322.5</v>
      </c>
      <c r="I192">
        <v>1950.9</v>
      </c>
      <c r="J192">
        <v>371.599999999999</v>
      </c>
      <c r="K192">
        <f>Table1[[#This Row],[Liters_Sold]]</f>
        <v>1858</v>
      </c>
      <c r="L192">
        <f>Table1[[#This Row],[Delivery volume]]*0.05</f>
        <v>92.9</v>
      </c>
      <c r="M192" s="16">
        <f>Table1[[#This Row],[Delivery Cost]]/Table1[[#This Row],[Revenue]]</f>
        <v>0.04</v>
      </c>
      <c r="N192" t="str">
        <f t="shared" si="2"/>
        <v>Nov</v>
      </c>
    </row>
    <row r="193" spans="1:14" x14ac:dyDescent="0.2">
      <c r="A193" s="1">
        <v>45451</v>
      </c>
      <c r="B193" t="s">
        <v>30</v>
      </c>
      <c r="C193" t="s">
        <v>20</v>
      </c>
      <c r="D193" t="s">
        <v>14</v>
      </c>
      <c r="E193">
        <v>562</v>
      </c>
      <c r="F193">
        <v>0.9</v>
      </c>
      <c r="G193">
        <v>0.7</v>
      </c>
      <c r="H193">
        <v>505.8</v>
      </c>
      <c r="I193">
        <v>393.4</v>
      </c>
      <c r="J193">
        <v>112.4</v>
      </c>
      <c r="K193">
        <f>Table1[[#This Row],[Liters_Sold]]</f>
        <v>562</v>
      </c>
      <c r="L193">
        <f>Table1[[#This Row],[Delivery volume]]*0.05</f>
        <v>28.1</v>
      </c>
      <c r="M193" s="16">
        <f>Table1[[#This Row],[Delivery Cost]]/Table1[[#This Row],[Revenue]]</f>
        <v>5.5555555555555559E-2</v>
      </c>
      <c r="N193" t="str">
        <f t="shared" si="2"/>
        <v>Jun</v>
      </c>
    </row>
    <row r="194" spans="1:14" x14ac:dyDescent="0.2">
      <c r="A194" s="1">
        <v>45387</v>
      </c>
      <c r="B194" t="s">
        <v>30</v>
      </c>
      <c r="C194" t="s">
        <v>29</v>
      </c>
      <c r="D194" t="s">
        <v>12</v>
      </c>
      <c r="E194">
        <v>3059</v>
      </c>
      <c r="F194">
        <v>1.25</v>
      </c>
      <c r="G194">
        <v>1.05</v>
      </c>
      <c r="H194">
        <v>3823.75</v>
      </c>
      <c r="I194">
        <v>3211.95</v>
      </c>
      <c r="J194">
        <v>611.79999999999905</v>
      </c>
      <c r="K194">
        <f>Table1[[#This Row],[Liters_Sold]]</f>
        <v>3059</v>
      </c>
      <c r="L194">
        <f>Table1[[#This Row],[Delivery volume]]*0.05</f>
        <v>152.95000000000002</v>
      </c>
      <c r="M194" s="16">
        <f>Table1[[#This Row],[Delivery Cost]]/Table1[[#This Row],[Revenue]]</f>
        <v>4.0000000000000008E-2</v>
      </c>
      <c r="N194" t="str">
        <f t="shared" ref="N194:N257" si="3">TEXT(A194,"mmm")</f>
        <v>Apr</v>
      </c>
    </row>
    <row r="195" spans="1:14" x14ac:dyDescent="0.2">
      <c r="A195" s="1">
        <v>45524</v>
      </c>
      <c r="B195" t="s">
        <v>13</v>
      </c>
      <c r="C195" t="s">
        <v>23</v>
      </c>
      <c r="D195" t="s">
        <v>14</v>
      </c>
      <c r="E195">
        <v>5758</v>
      </c>
      <c r="F195">
        <v>0.9</v>
      </c>
      <c r="G195">
        <v>0.7</v>
      </c>
      <c r="H195">
        <v>5182.2</v>
      </c>
      <c r="I195">
        <v>4030.6</v>
      </c>
      <c r="J195">
        <v>1151.5999999999999</v>
      </c>
      <c r="K195">
        <f>Table1[[#This Row],[Liters_Sold]]</f>
        <v>5758</v>
      </c>
      <c r="L195">
        <f>Table1[[#This Row],[Delivery volume]]*0.05</f>
        <v>287.90000000000003</v>
      </c>
      <c r="M195" s="16">
        <f>Table1[[#This Row],[Delivery Cost]]/Table1[[#This Row],[Revenue]]</f>
        <v>5.5555555555555566E-2</v>
      </c>
      <c r="N195" t="str">
        <f t="shared" si="3"/>
        <v>Aug</v>
      </c>
    </row>
    <row r="196" spans="1:14" x14ac:dyDescent="0.2">
      <c r="A196" s="1">
        <v>45471</v>
      </c>
      <c r="B196" t="s">
        <v>13</v>
      </c>
      <c r="C196" t="s">
        <v>17</v>
      </c>
      <c r="D196" t="s">
        <v>18</v>
      </c>
      <c r="E196">
        <v>4269</v>
      </c>
      <c r="F196">
        <v>1.2</v>
      </c>
      <c r="G196">
        <v>1</v>
      </c>
      <c r="H196">
        <v>5122.8</v>
      </c>
      <c r="I196">
        <v>4269</v>
      </c>
      <c r="J196">
        <v>853.8</v>
      </c>
      <c r="K196">
        <f>Table1[[#This Row],[Liters_Sold]]</f>
        <v>4269</v>
      </c>
      <c r="L196">
        <f>Table1[[#This Row],[Delivery volume]]*0.05</f>
        <v>213.45000000000002</v>
      </c>
      <c r="M196" s="16">
        <f>Table1[[#This Row],[Delivery Cost]]/Table1[[#This Row],[Revenue]]</f>
        <v>4.1666666666666671E-2</v>
      </c>
      <c r="N196" t="str">
        <f t="shared" si="3"/>
        <v>Jun</v>
      </c>
    </row>
    <row r="197" spans="1:14" x14ac:dyDescent="0.2">
      <c r="A197" s="1">
        <v>45404</v>
      </c>
      <c r="B197" t="s">
        <v>27</v>
      </c>
      <c r="C197" t="s">
        <v>23</v>
      </c>
      <c r="D197" t="s">
        <v>18</v>
      </c>
      <c r="E197">
        <v>5824</v>
      </c>
      <c r="F197">
        <v>1.2</v>
      </c>
      <c r="G197">
        <v>1</v>
      </c>
      <c r="H197">
        <v>6988.8</v>
      </c>
      <c r="I197">
        <v>5824</v>
      </c>
      <c r="J197">
        <v>1164.8</v>
      </c>
      <c r="K197">
        <f>Table1[[#This Row],[Liters_Sold]]</f>
        <v>5824</v>
      </c>
      <c r="L197">
        <f>Table1[[#This Row],[Delivery volume]]*0.05</f>
        <v>291.2</v>
      </c>
      <c r="M197" s="16">
        <f>Table1[[#This Row],[Delivery Cost]]/Table1[[#This Row],[Revenue]]</f>
        <v>4.1666666666666664E-2</v>
      </c>
      <c r="N197" t="str">
        <f t="shared" si="3"/>
        <v>Apr</v>
      </c>
    </row>
    <row r="198" spans="1:14" x14ac:dyDescent="0.2">
      <c r="A198" s="1">
        <v>45609</v>
      </c>
      <c r="B198" t="s">
        <v>25</v>
      </c>
      <c r="C198" t="s">
        <v>23</v>
      </c>
      <c r="D198" t="s">
        <v>12</v>
      </c>
      <c r="E198">
        <v>4851</v>
      </c>
      <c r="F198">
        <v>1.25</v>
      </c>
      <c r="G198">
        <v>1.05</v>
      </c>
      <c r="H198">
        <v>6063.75</v>
      </c>
      <c r="I198">
        <v>5093.55</v>
      </c>
      <c r="J198">
        <v>970.19999999999902</v>
      </c>
      <c r="K198">
        <f>Table1[[#This Row],[Liters_Sold]]</f>
        <v>4851</v>
      </c>
      <c r="L198">
        <f>Table1[[#This Row],[Delivery volume]]*0.05</f>
        <v>242.55</v>
      </c>
      <c r="M198" s="16">
        <f>Table1[[#This Row],[Delivery Cost]]/Table1[[#This Row],[Revenue]]</f>
        <v>0.04</v>
      </c>
      <c r="N198" t="str">
        <f t="shared" si="3"/>
        <v>Nov</v>
      </c>
    </row>
    <row r="199" spans="1:14" x14ac:dyDescent="0.2">
      <c r="A199" s="1">
        <v>45343</v>
      </c>
      <c r="B199" t="s">
        <v>27</v>
      </c>
      <c r="C199" t="s">
        <v>20</v>
      </c>
      <c r="D199" t="s">
        <v>14</v>
      </c>
      <c r="E199">
        <v>634</v>
      </c>
      <c r="F199">
        <v>0.9</v>
      </c>
      <c r="G199">
        <v>0.7</v>
      </c>
      <c r="H199">
        <v>570.6</v>
      </c>
      <c r="I199">
        <v>443.79999999999899</v>
      </c>
      <c r="J199">
        <v>126.8</v>
      </c>
      <c r="K199">
        <f>Table1[[#This Row],[Liters_Sold]]</f>
        <v>634</v>
      </c>
      <c r="L199">
        <f>Table1[[#This Row],[Delivery volume]]*0.05</f>
        <v>31.700000000000003</v>
      </c>
      <c r="M199" s="16">
        <f>Table1[[#This Row],[Delivery Cost]]/Table1[[#This Row],[Revenue]]</f>
        <v>5.5555555555555559E-2</v>
      </c>
      <c r="N199" t="str">
        <f t="shared" si="3"/>
        <v>Feb</v>
      </c>
    </row>
    <row r="200" spans="1:14" x14ac:dyDescent="0.2">
      <c r="A200" s="1">
        <v>45559</v>
      </c>
      <c r="B200" t="s">
        <v>25</v>
      </c>
      <c r="C200" t="s">
        <v>29</v>
      </c>
      <c r="D200" t="s">
        <v>18</v>
      </c>
      <c r="E200">
        <v>4144</v>
      </c>
      <c r="F200">
        <v>1.2</v>
      </c>
      <c r="G200">
        <v>1</v>
      </c>
      <c r="H200">
        <v>4972.8</v>
      </c>
      <c r="I200">
        <v>4144</v>
      </c>
      <c r="J200">
        <v>828.8</v>
      </c>
      <c r="K200">
        <f>Table1[[#This Row],[Liters_Sold]]</f>
        <v>4144</v>
      </c>
      <c r="L200">
        <f>Table1[[#This Row],[Delivery volume]]*0.05</f>
        <v>207.20000000000002</v>
      </c>
      <c r="M200" s="16">
        <f>Table1[[#This Row],[Delivery Cost]]/Table1[[#This Row],[Revenue]]</f>
        <v>4.1666666666666671E-2</v>
      </c>
      <c r="N200" t="str">
        <f t="shared" si="3"/>
        <v>Sep</v>
      </c>
    </row>
    <row r="201" spans="1:14" x14ac:dyDescent="0.2">
      <c r="A201" s="1">
        <v>45586</v>
      </c>
      <c r="B201" t="s">
        <v>10</v>
      </c>
      <c r="C201" t="s">
        <v>17</v>
      </c>
      <c r="D201" t="s">
        <v>12</v>
      </c>
      <c r="E201">
        <v>5470</v>
      </c>
      <c r="F201">
        <v>1.25</v>
      </c>
      <c r="G201">
        <v>1.05</v>
      </c>
      <c r="H201">
        <v>6837.5</v>
      </c>
      <c r="I201">
        <v>5743.5</v>
      </c>
      <c r="J201">
        <v>1094</v>
      </c>
      <c r="K201">
        <f>Table1[[#This Row],[Liters_Sold]]</f>
        <v>5470</v>
      </c>
      <c r="L201">
        <f>Table1[[#This Row],[Delivery volume]]*0.05</f>
        <v>273.5</v>
      </c>
      <c r="M201" s="16">
        <f>Table1[[#This Row],[Delivery Cost]]/Table1[[#This Row],[Revenue]]</f>
        <v>0.04</v>
      </c>
      <c r="N201" t="str">
        <f t="shared" si="3"/>
        <v>Oct</v>
      </c>
    </row>
    <row r="202" spans="1:14" x14ac:dyDescent="0.2">
      <c r="A202" s="1">
        <v>45404</v>
      </c>
      <c r="B202" t="s">
        <v>26</v>
      </c>
      <c r="C202" t="s">
        <v>11</v>
      </c>
      <c r="D202" t="s">
        <v>18</v>
      </c>
      <c r="E202">
        <v>5417</v>
      </c>
      <c r="F202">
        <v>1.2</v>
      </c>
      <c r="G202">
        <v>1</v>
      </c>
      <c r="H202">
        <v>6500.4</v>
      </c>
      <c r="I202">
        <v>5417</v>
      </c>
      <c r="J202">
        <v>1083.3999999999901</v>
      </c>
      <c r="K202">
        <f>Table1[[#This Row],[Liters_Sold]]</f>
        <v>5417</v>
      </c>
      <c r="L202">
        <f>Table1[[#This Row],[Delivery volume]]*0.05</f>
        <v>270.85000000000002</v>
      </c>
      <c r="M202" s="16">
        <f>Table1[[#This Row],[Delivery Cost]]/Table1[[#This Row],[Revenue]]</f>
        <v>4.1666666666666671E-2</v>
      </c>
      <c r="N202" t="str">
        <f t="shared" si="3"/>
        <v>Apr</v>
      </c>
    </row>
    <row r="203" spans="1:14" x14ac:dyDescent="0.2">
      <c r="A203" s="1">
        <v>45392</v>
      </c>
      <c r="B203" t="s">
        <v>21</v>
      </c>
      <c r="C203" t="s">
        <v>11</v>
      </c>
      <c r="D203" t="s">
        <v>12</v>
      </c>
      <c r="E203">
        <v>2635</v>
      </c>
      <c r="F203">
        <v>1.25</v>
      </c>
      <c r="G203">
        <v>1.05</v>
      </c>
      <c r="H203">
        <v>3293.75</v>
      </c>
      <c r="I203">
        <v>2766.75</v>
      </c>
      <c r="J203">
        <v>527</v>
      </c>
      <c r="K203">
        <f>Table1[[#This Row],[Liters_Sold]]</f>
        <v>2635</v>
      </c>
      <c r="L203">
        <f>Table1[[#This Row],[Delivery volume]]*0.05</f>
        <v>131.75</v>
      </c>
      <c r="M203" s="16">
        <f>Table1[[#This Row],[Delivery Cost]]/Table1[[#This Row],[Revenue]]</f>
        <v>0.04</v>
      </c>
      <c r="N203" t="str">
        <f t="shared" si="3"/>
        <v>Apr</v>
      </c>
    </row>
    <row r="204" spans="1:14" x14ac:dyDescent="0.2">
      <c r="A204" s="1">
        <v>45404</v>
      </c>
      <c r="B204" t="s">
        <v>30</v>
      </c>
      <c r="C204" t="s">
        <v>23</v>
      </c>
      <c r="D204" t="s">
        <v>14</v>
      </c>
      <c r="E204">
        <v>3778</v>
      </c>
      <c r="F204">
        <v>0.9</v>
      </c>
      <c r="G204">
        <v>0.7</v>
      </c>
      <c r="H204">
        <v>3400.2</v>
      </c>
      <c r="I204">
        <v>2644.6</v>
      </c>
      <c r="J204">
        <v>755.6</v>
      </c>
      <c r="K204">
        <f>Table1[[#This Row],[Liters_Sold]]</f>
        <v>3778</v>
      </c>
      <c r="L204">
        <f>Table1[[#This Row],[Delivery volume]]*0.05</f>
        <v>188.9</v>
      </c>
      <c r="M204" s="16">
        <f>Table1[[#This Row],[Delivery Cost]]/Table1[[#This Row],[Revenue]]</f>
        <v>5.5555555555555559E-2</v>
      </c>
      <c r="N204" t="str">
        <f t="shared" si="3"/>
        <v>Apr</v>
      </c>
    </row>
    <row r="205" spans="1:14" x14ac:dyDescent="0.2">
      <c r="A205" s="1">
        <v>45372</v>
      </c>
      <c r="B205" t="s">
        <v>10</v>
      </c>
      <c r="C205" t="s">
        <v>20</v>
      </c>
      <c r="D205" t="s">
        <v>12</v>
      </c>
      <c r="E205">
        <v>1322</v>
      </c>
      <c r="F205">
        <v>1.25</v>
      </c>
      <c r="G205">
        <v>1.05</v>
      </c>
      <c r="H205">
        <v>1652.5</v>
      </c>
      <c r="I205">
        <v>1388.1</v>
      </c>
      <c r="J205">
        <v>264.39999999999901</v>
      </c>
      <c r="K205">
        <f>Table1[[#This Row],[Liters_Sold]]</f>
        <v>1322</v>
      </c>
      <c r="L205">
        <f>Table1[[#This Row],[Delivery volume]]*0.05</f>
        <v>66.100000000000009</v>
      </c>
      <c r="M205" s="16">
        <f>Table1[[#This Row],[Delivery Cost]]/Table1[[#This Row],[Revenue]]</f>
        <v>4.0000000000000008E-2</v>
      </c>
      <c r="N205" t="str">
        <f t="shared" si="3"/>
        <v>Mar</v>
      </c>
    </row>
    <row r="206" spans="1:14" x14ac:dyDescent="0.2">
      <c r="A206" s="1">
        <v>45478</v>
      </c>
      <c r="B206" t="s">
        <v>26</v>
      </c>
      <c r="C206" t="s">
        <v>20</v>
      </c>
      <c r="D206" t="s">
        <v>18</v>
      </c>
      <c r="E206">
        <v>3574</v>
      </c>
      <c r="F206">
        <v>1.2</v>
      </c>
      <c r="G206">
        <v>1</v>
      </c>
      <c r="H206">
        <v>4288.8</v>
      </c>
      <c r="I206">
        <v>3574</v>
      </c>
      <c r="J206">
        <v>714.8</v>
      </c>
      <c r="K206">
        <f>Table1[[#This Row],[Liters_Sold]]</f>
        <v>3574</v>
      </c>
      <c r="L206">
        <f>Table1[[#This Row],[Delivery volume]]*0.05</f>
        <v>178.70000000000002</v>
      </c>
      <c r="M206" s="16">
        <f>Table1[[#This Row],[Delivery Cost]]/Table1[[#This Row],[Revenue]]</f>
        <v>4.1666666666666671E-2</v>
      </c>
      <c r="N206" t="str">
        <f t="shared" si="3"/>
        <v>Jul</v>
      </c>
    </row>
    <row r="207" spans="1:14" x14ac:dyDescent="0.2">
      <c r="A207" s="1">
        <v>45404</v>
      </c>
      <c r="B207" t="s">
        <v>31</v>
      </c>
      <c r="C207" t="s">
        <v>11</v>
      </c>
      <c r="D207" t="s">
        <v>18</v>
      </c>
      <c r="E207">
        <v>5569</v>
      </c>
      <c r="F207">
        <v>1.2</v>
      </c>
      <c r="G207">
        <v>1</v>
      </c>
      <c r="H207">
        <v>6682.8</v>
      </c>
      <c r="I207">
        <v>5569</v>
      </c>
      <c r="J207">
        <v>1113.8</v>
      </c>
      <c r="K207">
        <f>Table1[[#This Row],[Liters_Sold]]</f>
        <v>5569</v>
      </c>
      <c r="L207">
        <f>Table1[[#This Row],[Delivery volume]]*0.05</f>
        <v>278.45</v>
      </c>
      <c r="M207" s="16">
        <f>Table1[[#This Row],[Delivery Cost]]/Table1[[#This Row],[Revenue]]</f>
        <v>4.1666666666666664E-2</v>
      </c>
      <c r="N207" t="str">
        <f t="shared" si="3"/>
        <v>Apr</v>
      </c>
    </row>
    <row r="208" spans="1:14" x14ac:dyDescent="0.2">
      <c r="A208" s="1">
        <v>45293</v>
      </c>
      <c r="B208" t="s">
        <v>22</v>
      </c>
      <c r="C208" t="s">
        <v>17</v>
      </c>
      <c r="D208" t="s">
        <v>12</v>
      </c>
      <c r="E208">
        <v>3481</v>
      </c>
      <c r="F208">
        <v>1.25</v>
      </c>
      <c r="G208">
        <v>1.05</v>
      </c>
      <c r="H208">
        <v>4351.25</v>
      </c>
      <c r="I208">
        <v>3655.05</v>
      </c>
      <c r="J208">
        <v>696.19999999999902</v>
      </c>
      <c r="K208">
        <f>Table1[[#This Row],[Liters_Sold]]</f>
        <v>3481</v>
      </c>
      <c r="L208">
        <f>Table1[[#This Row],[Delivery volume]]*0.05</f>
        <v>174.05</v>
      </c>
      <c r="M208" s="16">
        <f>Table1[[#This Row],[Delivery Cost]]/Table1[[#This Row],[Revenue]]</f>
        <v>0.04</v>
      </c>
      <c r="N208" t="str">
        <f t="shared" si="3"/>
        <v>Jan</v>
      </c>
    </row>
    <row r="209" spans="1:14" x14ac:dyDescent="0.2">
      <c r="A209" s="1">
        <v>45421</v>
      </c>
      <c r="B209" t="s">
        <v>19</v>
      </c>
      <c r="C209" t="s">
        <v>29</v>
      </c>
      <c r="D209" t="s">
        <v>12</v>
      </c>
      <c r="E209">
        <v>620</v>
      </c>
      <c r="F209">
        <v>1.25</v>
      </c>
      <c r="G209">
        <v>1.05</v>
      </c>
      <c r="H209">
        <v>775</v>
      </c>
      <c r="I209">
        <v>651</v>
      </c>
      <c r="J209">
        <v>124</v>
      </c>
      <c r="K209">
        <f>Table1[[#This Row],[Liters_Sold]]</f>
        <v>620</v>
      </c>
      <c r="L209">
        <f>Table1[[#This Row],[Delivery volume]]*0.05</f>
        <v>31</v>
      </c>
      <c r="M209" s="16">
        <f>Table1[[#This Row],[Delivery Cost]]/Table1[[#This Row],[Revenue]]</f>
        <v>0.04</v>
      </c>
      <c r="N209" t="str">
        <f t="shared" si="3"/>
        <v>May</v>
      </c>
    </row>
    <row r="210" spans="1:14" x14ac:dyDescent="0.2">
      <c r="A210" s="1">
        <v>45511</v>
      </c>
      <c r="B210" t="s">
        <v>15</v>
      </c>
      <c r="C210" t="s">
        <v>17</v>
      </c>
      <c r="D210" t="s">
        <v>12</v>
      </c>
      <c r="E210">
        <v>2137</v>
      </c>
      <c r="F210">
        <v>1.25</v>
      </c>
      <c r="G210">
        <v>1.05</v>
      </c>
      <c r="H210">
        <v>2671.25</v>
      </c>
      <c r="I210">
        <v>2243.85</v>
      </c>
      <c r="J210">
        <v>427.4</v>
      </c>
      <c r="K210">
        <f>Table1[[#This Row],[Liters_Sold]]</f>
        <v>2137</v>
      </c>
      <c r="L210">
        <f>Table1[[#This Row],[Delivery volume]]*0.05</f>
        <v>106.85000000000001</v>
      </c>
      <c r="M210" s="16">
        <f>Table1[[#This Row],[Delivery Cost]]/Table1[[#This Row],[Revenue]]</f>
        <v>0.04</v>
      </c>
      <c r="N210" t="str">
        <f t="shared" si="3"/>
        <v>Aug</v>
      </c>
    </row>
    <row r="211" spans="1:14" x14ac:dyDescent="0.2">
      <c r="A211" s="1">
        <v>45345</v>
      </c>
      <c r="B211" t="s">
        <v>32</v>
      </c>
      <c r="C211" t="s">
        <v>29</v>
      </c>
      <c r="D211" t="s">
        <v>12</v>
      </c>
      <c r="E211">
        <v>5960</v>
      </c>
      <c r="F211">
        <v>1.25</v>
      </c>
      <c r="G211">
        <v>1.05</v>
      </c>
      <c r="H211">
        <v>7450</v>
      </c>
      <c r="I211">
        <v>6258</v>
      </c>
      <c r="J211">
        <v>1192</v>
      </c>
      <c r="K211">
        <f>Table1[[#This Row],[Liters_Sold]]</f>
        <v>5960</v>
      </c>
      <c r="L211">
        <f>Table1[[#This Row],[Delivery volume]]*0.05</f>
        <v>298</v>
      </c>
      <c r="M211" s="16">
        <f>Table1[[#This Row],[Delivery Cost]]/Table1[[#This Row],[Revenue]]</f>
        <v>0.04</v>
      </c>
      <c r="N211" t="str">
        <f t="shared" si="3"/>
        <v>Feb</v>
      </c>
    </row>
    <row r="212" spans="1:14" x14ac:dyDescent="0.2">
      <c r="A212" s="1">
        <v>45634</v>
      </c>
      <c r="B212" t="s">
        <v>25</v>
      </c>
      <c r="C212" t="s">
        <v>11</v>
      </c>
      <c r="D212" t="s">
        <v>12</v>
      </c>
      <c r="E212">
        <v>5603</v>
      </c>
      <c r="F212">
        <v>1.25</v>
      </c>
      <c r="G212">
        <v>1.05</v>
      </c>
      <c r="H212">
        <v>7003.75</v>
      </c>
      <c r="I212">
        <v>5883.15</v>
      </c>
      <c r="J212">
        <v>1120.5999999999899</v>
      </c>
      <c r="K212">
        <f>Table1[[#This Row],[Liters_Sold]]</f>
        <v>5603</v>
      </c>
      <c r="L212">
        <f>Table1[[#This Row],[Delivery volume]]*0.05</f>
        <v>280.15000000000003</v>
      </c>
      <c r="M212" s="16">
        <f>Table1[[#This Row],[Delivery Cost]]/Table1[[#This Row],[Revenue]]</f>
        <v>4.0000000000000008E-2</v>
      </c>
      <c r="N212" t="str">
        <f t="shared" si="3"/>
        <v>Dec</v>
      </c>
    </row>
    <row r="213" spans="1:14" x14ac:dyDescent="0.2">
      <c r="A213" s="1">
        <v>45515</v>
      </c>
      <c r="B213" t="s">
        <v>31</v>
      </c>
      <c r="C213" t="s">
        <v>29</v>
      </c>
      <c r="D213" t="s">
        <v>18</v>
      </c>
      <c r="E213">
        <v>1424</v>
      </c>
      <c r="F213">
        <v>1.2</v>
      </c>
      <c r="G213">
        <v>1</v>
      </c>
      <c r="H213">
        <v>1708.8</v>
      </c>
      <c r="I213">
        <v>1424</v>
      </c>
      <c r="J213">
        <v>284.79999999999899</v>
      </c>
      <c r="K213">
        <f>Table1[[#This Row],[Liters_Sold]]</f>
        <v>1424</v>
      </c>
      <c r="L213">
        <f>Table1[[#This Row],[Delivery volume]]*0.05</f>
        <v>71.2</v>
      </c>
      <c r="M213" s="16">
        <f>Table1[[#This Row],[Delivery Cost]]/Table1[[#This Row],[Revenue]]</f>
        <v>4.1666666666666671E-2</v>
      </c>
      <c r="N213" t="str">
        <f t="shared" si="3"/>
        <v>Aug</v>
      </c>
    </row>
    <row r="214" spans="1:14" x14ac:dyDescent="0.2">
      <c r="A214" s="1">
        <v>45516</v>
      </c>
      <c r="B214" t="s">
        <v>22</v>
      </c>
      <c r="C214" t="s">
        <v>20</v>
      </c>
      <c r="D214" t="s">
        <v>12</v>
      </c>
      <c r="E214">
        <v>1144</v>
      </c>
      <c r="F214">
        <v>1.25</v>
      </c>
      <c r="G214">
        <v>1.05</v>
      </c>
      <c r="H214">
        <v>1430</v>
      </c>
      <c r="I214">
        <v>1201.2</v>
      </c>
      <c r="J214">
        <v>228.79999999999899</v>
      </c>
      <c r="K214">
        <f>Table1[[#This Row],[Liters_Sold]]</f>
        <v>1144</v>
      </c>
      <c r="L214">
        <f>Table1[[#This Row],[Delivery volume]]*0.05</f>
        <v>57.2</v>
      </c>
      <c r="M214" s="16">
        <f>Table1[[#This Row],[Delivery Cost]]/Table1[[#This Row],[Revenue]]</f>
        <v>0.04</v>
      </c>
      <c r="N214" t="str">
        <f t="shared" si="3"/>
        <v>Aug</v>
      </c>
    </row>
    <row r="215" spans="1:14" x14ac:dyDescent="0.2">
      <c r="A215" s="1">
        <v>45417</v>
      </c>
      <c r="B215" t="s">
        <v>16</v>
      </c>
      <c r="C215" t="s">
        <v>23</v>
      </c>
      <c r="D215" t="s">
        <v>12</v>
      </c>
      <c r="E215">
        <v>2532</v>
      </c>
      <c r="F215">
        <v>1.25</v>
      </c>
      <c r="G215">
        <v>1.05</v>
      </c>
      <c r="H215">
        <v>3165</v>
      </c>
      <c r="I215">
        <v>2658.6</v>
      </c>
      <c r="J215">
        <v>506.4</v>
      </c>
      <c r="K215">
        <f>Table1[[#This Row],[Liters_Sold]]</f>
        <v>2532</v>
      </c>
      <c r="L215">
        <f>Table1[[#This Row],[Delivery volume]]*0.05</f>
        <v>126.60000000000001</v>
      </c>
      <c r="M215" s="16">
        <f>Table1[[#This Row],[Delivery Cost]]/Table1[[#This Row],[Revenue]]</f>
        <v>0.04</v>
      </c>
      <c r="N215" t="str">
        <f t="shared" si="3"/>
        <v>May</v>
      </c>
    </row>
    <row r="216" spans="1:14" x14ac:dyDescent="0.2">
      <c r="A216" s="1">
        <v>45421</v>
      </c>
      <c r="B216" t="s">
        <v>28</v>
      </c>
      <c r="C216" t="s">
        <v>23</v>
      </c>
      <c r="D216" t="s">
        <v>18</v>
      </c>
      <c r="E216">
        <v>3261</v>
      </c>
      <c r="F216">
        <v>1.2</v>
      </c>
      <c r="G216">
        <v>1</v>
      </c>
      <c r="H216">
        <v>3913.2</v>
      </c>
      <c r="I216">
        <v>3261</v>
      </c>
      <c r="J216">
        <v>652.19999999999902</v>
      </c>
      <c r="K216">
        <f>Table1[[#This Row],[Liters_Sold]]</f>
        <v>3261</v>
      </c>
      <c r="L216">
        <f>Table1[[#This Row],[Delivery volume]]*0.05</f>
        <v>163.05000000000001</v>
      </c>
      <c r="M216" s="16">
        <f>Table1[[#This Row],[Delivery Cost]]/Table1[[#This Row],[Revenue]]</f>
        <v>4.1666666666666671E-2</v>
      </c>
      <c r="N216" t="str">
        <f t="shared" si="3"/>
        <v>May</v>
      </c>
    </row>
    <row r="217" spans="1:14" x14ac:dyDescent="0.2">
      <c r="A217" s="1">
        <v>45344</v>
      </c>
      <c r="B217" t="s">
        <v>21</v>
      </c>
      <c r="C217" t="s">
        <v>11</v>
      </c>
      <c r="D217" t="s">
        <v>12</v>
      </c>
      <c r="E217">
        <v>2568</v>
      </c>
      <c r="F217">
        <v>1.25</v>
      </c>
      <c r="G217">
        <v>1.05</v>
      </c>
      <c r="H217">
        <v>3210</v>
      </c>
      <c r="I217">
        <v>2696.4</v>
      </c>
      <c r="J217">
        <v>513.599999999999</v>
      </c>
      <c r="K217">
        <f>Table1[[#This Row],[Liters_Sold]]</f>
        <v>2568</v>
      </c>
      <c r="L217">
        <f>Table1[[#This Row],[Delivery volume]]*0.05</f>
        <v>128.4</v>
      </c>
      <c r="M217" s="16">
        <f>Table1[[#This Row],[Delivery Cost]]/Table1[[#This Row],[Revenue]]</f>
        <v>0.04</v>
      </c>
      <c r="N217" t="str">
        <f t="shared" si="3"/>
        <v>Feb</v>
      </c>
    </row>
    <row r="218" spans="1:14" x14ac:dyDescent="0.2">
      <c r="A218" s="1">
        <v>45463</v>
      </c>
      <c r="B218" t="s">
        <v>32</v>
      </c>
      <c r="C218" t="s">
        <v>20</v>
      </c>
      <c r="D218" t="s">
        <v>14</v>
      </c>
      <c r="E218">
        <v>741</v>
      </c>
      <c r="F218">
        <v>0.9</v>
      </c>
      <c r="G218">
        <v>0.7</v>
      </c>
      <c r="H218">
        <v>666.9</v>
      </c>
      <c r="I218">
        <v>518.69999999999902</v>
      </c>
      <c r="J218">
        <v>148.19999999999999</v>
      </c>
      <c r="K218">
        <f>Table1[[#This Row],[Liters_Sold]]</f>
        <v>741</v>
      </c>
      <c r="L218">
        <f>Table1[[#This Row],[Delivery volume]]*0.05</f>
        <v>37.050000000000004</v>
      </c>
      <c r="M218" s="16">
        <f>Table1[[#This Row],[Delivery Cost]]/Table1[[#This Row],[Revenue]]</f>
        <v>5.5555555555555566E-2</v>
      </c>
      <c r="N218" t="str">
        <f t="shared" si="3"/>
        <v>Jun</v>
      </c>
    </row>
    <row r="219" spans="1:14" x14ac:dyDescent="0.2">
      <c r="A219" s="1">
        <v>45509</v>
      </c>
      <c r="B219" t="s">
        <v>27</v>
      </c>
      <c r="C219" t="s">
        <v>17</v>
      </c>
      <c r="D219" t="s">
        <v>14</v>
      </c>
      <c r="E219">
        <v>3168</v>
      </c>
      <c r="F219">
        <v>0.9</v>
      </c>
      <c r="G219">
        <v>0.7</v>
      </c>
      <c r="H219">
        <v>2851.2</v>
      </c>
      <c r="I219">
        <v>2217.6</v>
      </c>
      <c r="J219">
        <v>633.6</v>
      </c>
      <c r="K219">
        <f>Table1[[#This Row],[Liters_Sold]]</f>
        <v>3168</v>
      </c>
      <c r="L219">
        <f>Table1[[#This Row],[Delivery volume]]*0.05</f>
        <v>158.4</v>
      </c>
      <c r="M219" s="16">
        <f>Table1[[#This Row],[Delivery Cost]]/Table1[[#This Row],[Revenue]]</f>
        <v>5.5555555555555559E-2</v>
      </c>
      <c r="N219" t="str">
        <f t="shared" si="3"/>
        <v>Aug</v>
      </c>
    </row>
    <row r="220" spans="1:14" x14ac:dyDescent="0.2">
      <c r="A220" s="1">
        <v>45451</v>
      </c>
      <c r="B220" t="s">
        <v>27</v>
      </c>
      <c r="C220" t="s">
        <v>20</v>
      </c>
      <c r="D220" t="s">
        <v>18</v>
      </c>
      <c r="E220">
        <v>1302</v>
      </c>
      <c r="F220">
        <v>1.2</v>
      </c>
      <c r="G220">
        <v>1</v>
      </c>
      <c r="H220">
        <v>1562.3999999999901</v>
      </c>
      <c r="I220">
        <v>1302</v>
      </c>
      <c r="J220">
        <v>260.39999999999901</v>
      </c>
      <c r="K220">
        <f>Table1[[#This Row],[Liters_Sold]]</f>
        <v>1302</v>
      </c>
      <c r="L220">
        <f>Table1[[#This Row],[Delivery volume]]*0.05</f>
        <v>65.100000000000009</v>
      </c>
      <c r="M220" s="16">
        <f>Table1[[#This Row],[Delivery Cost]]/Table1[[#This Row],[Revenue]]</f>
        <v>4.1666666666666935E-2</v>
      </c>
      <c r="N220" t="str">
        <f t="shared" si="3"/>
        <v>Jun</v>
      </c>
    </row>
    <row r="221" spans="1:14" x14ac:dyDescent="0.2">
      <c r="A221" s="1">
        <v>45489</v>
      </c>
      <c r="B221" t="s">
        <v>26</v>
      </c>
      <c r="C221" t="s">
        <v>23</v>
      </c>
      <c r="D221" t="s">
        <v>18</v>
      </c>
      <c r="E221">
        <v>5559</v>
      </c>
      <c r="F221">
        <v>1.2</v>
      </c>
      <c r="G221">
        <v>1</v>
      </c>
      <c r="H221">
        <v>6670.8</v>
      </c>
      <c r="I221">
        <v>5559</v>
      </c>
      <c r="J221">
        <v>1111.8</v>
      </c>
      <c r="K221">
        <f>Table1[[#This Row],[Liters_Sold]]</f>
        <v>5559</v>
      </c>
      <c r="L221">
        <f>Table1[[#This Row],[Delivery volume]]*0.05</f>
        <v>277.95</v>
      </c>
      <c r="M221" s="16">
        <f>Table1[[#This Row],[Delivery Cost]]/Table1[[#This Row],[Revenue]]</f>
        <v>4.1666666666666664E-2</v>
      </c>
      <c r="N221" t="str">
        <f t="shared" si="3"/>
        <v>Jul</v>
      </c>
    </row>
    <row r="222" spans="1:14" x14ac:dyDescent="0.2">
      <c r="A222" s="1">
        <v>45538</v>
      </c>
      <c r="B222" t="s">
        <v>32</v>
      </c>
      <c r="C222" t="s">
        <v>23</v>
      </c>
      <c r="D222" t="s">
        <v>14</v>
      </c>
      <c r="E222">
        <v>4664</v>
      </c>
      <c r="F222">
        <v>0.9</v>
      </c>
      <c r="G222">
        <v>0.7</v>
      </c>
      <c r="H222">
        <v>4197.6000000000004</v>
      </c>
      <c r="I222">
        <v>3264.7999999999902</v>
      </c>
      <c r="J222">
        <v>932.8</v>
      </c>
      <c r="K222">
        <f>Table1[[#This Row],[Liters_Sold]]</f>
        <v>4664</v>
      </c>
      <c r="L222">
        <f>Table1[[#This Row],[Delivery volume]]*0.05</f>
        <v>233.20000000000002</v>
      </c>
      <c r="M222" s="16">
        <f>Table1[[#This Row],[Delivery Cost]]/Table1[[#This Row],[Revenue]]</f>
        <v>5.5555555555555552E-2</v>
      </c>
      <c r="N222" t="str">
        <f t="shared" si="3"/>
        <v>Sep</v>
      </c>
    </row>
    <row r="223" spans="1:14" x14ac:dyDescent="0.2">
      <c r="A223" s="1">
        <v>45615</v>
      </c>
      <c r="B223" t="s">
        <v>13</v>
      </c>
      <c r="C223" t="s">
        <v>20</v>
      </c>
      <c r="D223" t="s">
        <v>12</v>
      </c>
      <c r="E223">
        <v>5748</v>
      </c>
      <c r="F223">
        <v>1.25</v>
      </c>
      <c r="G223">
        <v>1.05</v>
      </c>
      <c r="H223">
        <v>7185</v>
      </c>
      <c r="I223">
        <v>6035.4</v>
      </c>
      <c r="J223">
        <v>1149.5999999999899</v>
      </c>
      <c r="K223">
        <f>Table1[[#This Row],[Liters_Sold]]</f>
        <v>5748</v>
      </c>
      <c r="L223">
        <f>Table1[[#This Row],[Delivery volume]]*0.05</f>
        <v>287.40000000000003</v>
      </c>
      <c r="M223" s="16">
        <f>Table1[[#This Row],[Delivery Cost]]/Table1[[#This Row],[Revenue]]</f>
        <v>4.0000000000000008E-2</v>
      </c>
      <c r="N223" t="str">
        <f t="shared" si="3"/>
        <v>Nov</v>
      </c>
    </row>
    <row r="224" spans="1:14" x14ac:dyDescent="0.2">
      <c r="A224" s="1">
        <v>45494</v>
      </c>
      <c r="B224" t="s">
        <v>22</v>
      </c>
      <c r="C224" t="s">
        <v>20</v>
      </c>
      <c r="D224" t="s">
        <v>12</v>
      </c>
      <c r="E224">
        <v>695</v>
      </c>
      <c r="F224">
        <v>1.25</v>
      </c>
      <c r="G224">
        <v>1.05</v>
      </c>
      <c r="H224">
        <v>868.75</v>
      </c>
      <c r="I224">
        <v>729.75</v>
      </c>
      <c r="J224">
        <v>139</v>
      </c>
      <c r="K224">
        <f>Table1[[#This Row],[Liters_Sold]]</f>
        <v>695</v>
      </c>
      <c r="L224">
        <f>Table1[[#This Row],[Delivery volume]]*0.05</f>
        <v>34.75</v>
      </c>
      <c r="M224" s="16">
        <f>Table1[[#This Row],[Delivery Cost]]/Table1[[#This Row],[Revenue]]</f>
        <v>0.04</v>
      </c>
      <c r="N224" t="str">
        <f t="shared" si="3"/>
        <v>Jul</v>
      </c>
    </row>
    <row r="225" spans="1:14" x14ac:dyDescent="0.2">
      <c r="A225" s="1">
        <v>45475</v>
      </c>
      <c r="B225" t="s">
        <v>28</v>
      </c>
      <c r="C225" t="s">
        <v>23</v>
      </c>
      <c r="D225" t="s">
        <v>12</v>
      </c>
      <c r="E225">
        <v>2687</v>
      </c>
      <c r="F225">
        <v>1.25</v>
      </c>
      <c r="G225">
        <v>1.05</v>
      </c>
      <c r="H225">
        <v>3358.75</v>
      </c>
      <c r="I225">
        <v>2821.35</v>
      </c>
      <c r="J225">
        <v>537.4</v>
      </c>
      <c r="K225">
        <f>Table1[[#This Row],[Liters_Sold]]</f>
        <v>2687</v>
      </c>
      <c r="L225">
        <f>Table1[[#This Row],[Delivery volume]]*0.05</f>
        <v>134.35</v>
      </c>
      <c r="M225" s="16">
        <f>Table1[[#This Row],[Delivery Cost]]/Table1[[#This Row],[Revenue]]</f>
        <v>0.04</v>
      </c>
      <c r="N225" t="str">
        <f t="shared" si="3"/>
        <v>Jul</v>
      </c>
    </row>
    <row r="226" spans="1:14" x14ac:dyDescent="0.2">
      <c r="A226" s="1">
        <v>45414</v>
      </c>
      <c r="B226" t="s">
        <v>31</v>
      </c>
      <c r="C226" t="s">
        <v>17</v>
      </c>
      <c r="D226" t="s">
        <v>18</v>
      </c>
      <c r="E226">
        <v>4015</v>
      </c>
      <c r="F226">
        <v>1.2</v>
      </c>
      <c r="G226">
        <v>1</v>
      </c>
      <c r="H226">
        <v>4818</v>
      </c>
      <c r="I226">
        <v>4015</v>
      </c>
      <c r="J226">
        <v>803</v>
      </c>
      <c r="K226">
        <f>Table1[[#This Row],[Liters_Sold]]</f>
        <v>4015</v>
      </c>
      <c r="L226">
        <f>Table1[[#This Row],[Delivery volume]]*0.05</f>
        <v>200.75</v>
      </c>
      <c r="M226" s="16">
        <f>Table1[[#This Row],[Delivery Cost]]/Table1[[#This Row],[Revenue]]</f>
        <v>4.1666666666666664E-2</v>
      </c>
      <c r="N226" t="str">
        <f t="shared" si="3"/>
        <v>May</v>
      </c>
    </row>
    <row r="227" spans="1:14" x14ac:dyDescent="0.2">
      <c r="A227" s="1">
        <v>45546</v>
      </c>
      <c r="B227" t="s">
        <v>21</v>
      </c>
      <c r="C227" t="s">
        <v>11</v>
      </c>
      <c r="D227" t="s">
        <v>12</v>
      </c>
      <c r="E227">
        <v>2830</v>
      </c>
      <c r="F227">
        <v>1.25</v>
      </c>
      <c r="G227">
        <v>1.05</v>
      </c>
      <c r="H227">
        <v>3537.5</v>
      </c>
      <c r="I227">
        <v>2971.5</v>
      </c>
      <c r="J227">
        <v>566</v>
      </c>
      <c r="K227">
        <f>Table1[[#This Row],[Liters_Sold]]</f>
        <v>2830</v>
      </c>
      <c r="L227">
        <f>Table1[[#This Row],[Delivery volume]]*0.05</f>
        <v>141.5</v>
      </c>
      <c r="M227" s="16">
        <f>Table1[[#This Row],[Delivery Cost]]/Table1[[#This Row],[Revenue]]</f>
        <v>0.04</v>
      </c>
      <c r="N227" t="str">
        <f t="shared" si="3"/>
        <v>Sep</v>
      </c>
    </row>
    <row r="228" spans="1:14" x14ac:dyDescent="0.2">
      <c r="A228" s="1">
        <v>45585</v>
      </c>
      <c r="B228" t="s">
        <v>10</v>
      </c>
      <c r="C228" t="s">
        <v>11</v>
      </c>
      <c r="D228" t="s">
        <v>18</v>
      </c>
      <c r="E228">
        <v>2859</v>
      </c>
      <c r="F228">
        <v>1.2</v>
      </c>
      <c r="G228">
        <v>1</v>
      </c>
      <c r="H228">
        <v>3430.7999999999902</v>
      </c>
      <c r="I228">
        <v>2859</v>
      </c>
      <c r="J228">
        <v>571.79999999999905</v>
      </c>
      <c r="K228">
        <f>Table1[[#This Row],[Liters_Sold]]</f>
        <v>2859</v>
      </c>
      <c r="L228">
        <f>Table1[[#This Row],[Delivery volume]]*0.05</f>
        <v>142.95000000000002</v>
      </c>
      <c r="M228" s="16">
        <f>Table1[[#This Row],[Delivery Cost]]/Table1[[#This Row],[Revenue]]</f>
        <v>4.1666666666666789E-2</v>
      </c>
      <c r="N228" t="str">
        <f t="shared" si="3"/>
        <v>Oct</v>
      </c>
    </row>
    <row r="229" spans="1:14" x14ac:dyDescent="0.2">
      <c r="A229" s="1">
        <v>45571</v>
      </c>
      <c r="B229" t="s">
        <v>22</v>
      </c>
      <c r="C229" t="s">
        <v>20</v>
      </c>
      <c r="D229" t="s">
        <v>14</v>
      </c>
      <c r="E229">
        <v>5341</v>
      </c>
      <c r="F229">
        <v>0.9</v>
      </c>
      <c r="G229">
        <v>0.7</v>
      </c>
      <c r="H229">
        <v>4806.8999999999996</v>
      </c>
      <c r="I229">
        <v>3738.7</v>
      </c>
      <c r="J229">
        <v>1068.2</v>
      </c>
      <c r="K229">
        <f>Table1[[#This Row],[Liters_Sold]]</f>
        <v>5341</v>
      </c>
      <c r="L229">
        <f>Table1[[#This Row],[Delivery volume]]*0.05</f>
        <v>267.05</v>
      </c>
      <c r="M229" s="16">
        <f>Table1[[#This Row],[Delivery Cost]]/Table1[[#This Row],[Revenue]]</f>
        <v>5.5555555555555559E-2</v>
      </c>
      <c r="N229" t="str">
        <f t="shared" si="3"/>
        <v>Oct</v>
      </c>
    </row>
    <row r="230" spans="1:14" x14ac:dyDescent="0.2">
      <c r="A230" s="1">
        <v>45616</v>
      </c>
      <c r="B230" t="s">
        <v>28</v>
      </c>
      <c r="C230" t="s">
        <v>11</v>
      </c>
      <c r="D230" t="s">
        <v>14</v>
      </c>
      <c r="E230">
        <v>4106</v>
      </c>
      <c r="F230">
        <v>0.9</v>
      </c>
      <c r="G230">
        <v>0.7</v>
      </c>
      <c r="H230">
        <v>3695.4</v>
      </c>
      <c r="I230">
        <v>2874.2</v>
      </c>
      <c r="J230">
        <v>821.2</v>
      </c>
      <c r="K230">
        <f>Table1[[#This Row],[Liters_Sold]]</f>
        <v>4106</v>
      </c>
      <c r="L230">
        <f>Table1[[#This Row],[Delivery volume]]*0.05</f>
        <v>205.3</v>
      </c>
      <c r="M230" s="16">
        <f>Table1[[#This Row],[Delivery Cost]]/Table1[[#This Row],[Revenue]]</f>
        <v>5.5555555555555559E-2</v>
      </c>
      <c r="N230" t="str">
        <f t="shared" si="3"/>
        <v>Nov</v>
      </c>
    </row>
    <row r="231" spans="1:14" x14ac:dyDescent="0.2">
      <c r="A231" s="1">
        <v>45389</v>
      </c>
      <c r="B231" t="s">
        <v>19</v>
      </c>
      <c r="C231" t="s">
        <v>23</v>
      </c>
      <c r="D231" t="s">
        <v>18</v>
      </c>
      <c r="E231">
        <v>776</v>
      </c>
      <c r="F231">
        <v>1.2</v>
      </c>
      <c r="G231">
        <v>1</v>
      </c>
      <c r="H231">
        <v>931.19999999999902</v>
      </c>
      <c r="I231">
        <v>776</v>
      </c>
      <c r="J231">
        <v>155.19999999999899</v>
      </c>
      <c r="K231">
        <f>Table1[[#This Row],[Liters_Sold]]</f>
        <v>776</v>
      </c>
      <c r="L231">
        <f>Table1[[#This Row],[Delivery volume]]*0.05</f>
        <v>38.800000000000004</v>
      </c>
      <c r="M231" s="16">
        <f>Table1[[#This Row],[Delivery Cost]]/Table1[[#This Row],[Revenue]]</f>
        <v>4.1666666666666713E-2</v>
      </c>
      <c r="N231" t="str">
        <f t="shared" si="3"/>
        <v>Apr</v>
      </c>
    </row>
    <row r="232" spans="1:14" x14ac:dyDescent="0.2">
      <c r="A232" s="1">
        <v>45489</v>
      </c>
      <c r="B232" t="s">
        <v>25</v>
      </c>
      <c r="C232" t="s">
        <v>23</v>
      </c>
      <c r="D232" t="s">
        <v>12</v>
      </c>
      <c r="E232">
        <v>560</v>
      </c>
      <c r="F232">
        <v>1.25</v>
      </c>
      <c r="G232">
        <v>1.05</v>
      </c>
      <c r="H232">
        <v>700</v>
      </c>
      <c r="I232">
        <v>588</v>
      </c>
      <c r="J232">
        <v>112</v>
      </c>
      <c r="K232">
        <f>Table1[[#This Row],[Liters_Sold]]</f>
        <v>560</v>
      </c>
      <c r="L232">
        <f>Table1[[#This Row],[Delivery volume]]*0.05</f>
        <v>28</v>
      </c>
      <c r="M232" s="16">
        <f>Table1[[#This Row],[Delivery Cost]]/Table1[[#This Row],[Revenue]]</f>
        <v>0.04</v>
      </c>
      <c r="N232" t="str">
        <f t="shared" si="3"/>
        <v>Jul</v>
      </c>
    </row>
    <row r="233" spans="1:14" x14ac:dyDescent="0.2">
      <c r="A233" s="1">
        <v>45531</v>
      </c>
      <c r="B233" t="s">
        <v>10</v>
      </c>
      <c r="C233" t="s">
        <v>20</v>
      </c>
      <c r="D233" t="s">
        <v>18</v>
      </c>
      <c r="E233">
        <v>3890</v>
      </c>
      <c r="F233">
        <v>1.2</v>
      </c>
      <c r="G233">
        <v>1</v>
      </c>
      <c r="H233">
        <v>4668</v>
      </c>
      <c r="I233">
        <v>3890</v>
      </c>
      <c r="J233">
        <v>778</v>
      </c>
      <c r="K233">
        <f>Table1[[#This Row],[Liters_Sold]]</f>
        <v>3890</v>
      </c>
      <c r="L233">
        <f>Table1[[#This Row],[Delivery volume]]*0.05</f>
        <v>194.5</v>
      </c>
      <c r="M233" s="16">
        <f>Table1[[#This Row],[Delivery Cost]]/Table1[[#This Row],[Revenue]]</f>
        <v>4.1666666666666664E-2</v>
      </c>
      <c r="N233" t="str">
        <f t="shared" si="3"/>
        <v>Aug</v>
      </c>
    </row>
    <row r="234" spans="1:14" x14ac:dyDescent="0.2">
      <c r="A234" s="1">
        <v>45435</v>
      </c>
      <c r="B234" t="s">
        <v>27</v>
      </c>
      <c r="C234" t="s">
        <v>20</v>
      </c>
      <c r="D234" t="s">
        <v>18</v>
      </c>
      <c r="E234">
        <v>2413</v>
      </c>
      <c r="F234">
        <v>1.2</v>
      </c>
      <c r="G234">
        <v>1</v>
      </c>
      <c r="H234">
        <v>2895.6</v>
      </c>
      <c r="I234">
        <v>2413</v>
      </c>
      <c r="J234">
        <v>482.599999999999</v>
      </c>
      <c r="K234">
        <f>Table1[[#This Row],[Liters_Sold]]</f>
        <v>2413</v>
      </c>
      <c r="L234">
        <f>Table1[[#This Row],[Delivery volume]]*0.05</f>
        <v>120.65</v>
      </c>
      <c r="M234" s="16">
        <f>Table1[[#This Row],[Delivery Cost]]/Table1[[#This Row],[Revenue]]</f>
        <v>4.1666666666666671E-2</v>
      </c>
      <c r="N234" t="str">
        <f t="shared" si="3"/>
        <v>May</v>
      </c>
    </row>
    <row r="235" spans="1:14" x14ac:dyDescent="0.2">
      <c r="A235" s="1">
        <v>45388</v>
      </c>
      <c r="B235" t="s">
        <v>10</v>
      </c>
      <c r="C235" t="s">
        <v>20</v>
      </c>
      <c r="D235" t="s">
        <v>12</v>
      </c>
      <c r="E235">
        <v>4427</v>
      </c>
      <c r="F235">
        <v>1.25</v>
      </c>
      <c r="G235">
        <v>1.05</v>
      </c>
      <c r="H235">
        <v>5533.75</v>
      </c>
      <c r="I235">
        <v>4648.3500000000004</v>
      </c>
      <c r="J235">
        <v>885.39999999999895</v>
      </c>
      <c r="K235">
        <f>Table1[[#This Row],[Liters_Sold]]</f>
        <v>4427</v>
      </c>
      <c r="L235">
        <f>Table1[[#This Row],[Delivery volume]]*0.05</f>
        <v>221.35000000000002</v>
      </c>
      <c r="M235" s="16">
        <f>Table1[[#This Row],[Delivery Cost]]/Table1[[#This Row],[Revenue]]</f>
        <v>0.04</v>
      </c>
      <c r="N235" t="str">
        <f t="shared" si="3"/>
        <v>Apr</v>
      </c>
    </row>
    <row r="236" spans="1:14" x14ac:dyDescent="0.2">
      <c r="A236" s="1">
        <v>45492</v>
      </c>
      <c r="B236" t="s">
        <v>31</v>
      </c>
      <c r="C236" t="s">
        <v>17</v>
      </c>
      <c r="D236" t="s">
        <v>12</v>
      </c>
      <c r="E236">
        <v>5930</v>
      </c>
      <c r="F236">
        <v>1.25</v>
      </c>
      <c r="G236">
        <v>1.05</v>
      </c>
      <c r="H236">
        <v>7412.5</v>
      </c>
      <c r="I236">
        <v>6226.5</v>
      </c>
      <c r="J236">
        <v>1186</v>
      </c>
      <c r="K236">
        <f>Table1[[#This Row],[Liters_Sold]]</f>
        <v>5930</v>
      </c>
      <c r="L236">
        <f>Table1[[#This Row],[Delivery volume]]*0.05</f>
        <v>296.5</v>
      </c>
      <c r="M236" s="16">
        <f>Table1[[#This Row],[Delivery Cost]]/Table1[[#This Row],[Revenue]]</f>
        <v>0.04</v>
      </c>
      <c r="N236" t="str">
        <f t="shared" si="3"/>
        <v>Jul</v>
      </c>
    </row>
    <row r="237" spans="1:14" x14ac:dyDescent="0.2">
      <c r="A237" s="1">
        <v>45415</v>
      </c>
      <c r="B237" t="s">
        <v>27</v>
      </c>
      <c r="C237" t="s">
        <v>11</v>
      </c>
      <c r="D237" t="s">
        <v>14</v>
      </c>
      <c r="E237">
        <v>3091</v>
      </c>
      <c r="F237">
        <v>0.9</v>
      </c>
      <c r="G237">
        <v>0.7</v>
      </c>
      <c r="H237">
        <v>2781.9</v>
      </c>
      <c r="I237">
        <v>2163.6999999999998</v>
      </c>
      <c r="J237">
        <v>618.20000000000005</v>
      </c>
      <c r="K237">
        <f>Table1[[#This Row],[Liters_Sold]]</f>
        <v>3091</v>
      </c>
      <c r="L237">
        <f>Table1[[#This Row],[Delivery volume]]*0.05</f>
        <v>154.55000000000001</v>
      </c>
      <c r="M237" s="16">
        <f>Table1[[#This Row],[Delivery Cost]]/Table1[[#This Row],[Revenue]]</f>
        <v>5.5555555555555559E-2</v>
      </c>
      <c r="N237" t="str">
        <f t="shared" si="3"/>
        <v>May</v>
      </c>
    </row>
    <row r="238" spans="1:14" x14ac:dyDescent="0.2">
      <c r="A238" s="1">
        <v>45478</v>
      </c>
      <c r="B238" t="s">
        <v>31</v>
      </c>
      <c r="C238" t="s">
        <v>20</v>
      </c>
      <c r="D238" t="s">
        <v>18</v>
      </c>
      <c r="E238">
        <v>1066</v>
      </c>
      <c r="F238">
        <v>1.2</v>
      </c>
      <c r="G238">
        <v>1</v>
      </c>
      <c r="H238">
        <v>1279.2</v>
      </c>
      <c r="I238">
        <v>1066</v>
      </c>
      <c r="J238">
        <v>213.2</v>
      </c>
      <c r="K238">
        <f>Table1[[#This Row],[Liters_Sold]]</f>
        <v>1066</v>
      </c>
      <c r="L238">
        <f>Table1[[#This Row],[Delivery volume]]*0.05</f>
        <v>53.300000000000004</v>
      </c>
      <c r="M238" s="16">
        <f>Table1[[#This Row],[Delivery Cost]]/Table1[[#This Row],[Revenue]]</f>
        <v>4.1666666666666671E-2</v>
      </c>
      <c r="N238" t="str">
        <f t="shared" si="3"/>
        <v>Jul</v>
      </c>
    </row>
    <row r="239" spans="1:14" x14ac:dyDescent="0.2">
      <c r="A239" s="1">
        <v>45617</v>
      </c>
      <c r="B239" t="s">
        <v>26</v>
      </c>
      <c r="C239" t="s">
        <v>29</v>
      </c>
      <c r="D239" t="s">
        <v>18</v>
      </c>
      <c r="E239">
        <v>4435</v>
      </c>
      <c r="F239">
        <v>1.2</v>
      </c>
      <c r="G239">
        <v>1</v>
      </c>
      <c r="H239">
        <v>5322</v>
      </c>
      <c r="I239">
        <v>4435</v>
      </c>
      <c r="J239">
        <v>887</v>
      </c>
      <c r="K239">
        <f>Table1[[#This Row],[Liters_Sold]]</f>
        <v>4435</v>
      </c>
      <c r="L239">
        <f>Table1[[#This Row],[Delivery volume]]*0.05</f>
        <v>221.75</v>
      </c>
      <c r="M239" s="16">
        <f>Table1[[#This Row],[Delivery Cost]]/Table1[[#This Row],[Revenue]]</f>
        <v>4.1666666666666664E-2</v>
      </c>
      <c r="N239" t="str">
        <f t="shared" si="3"/>
        <v>Nov</v>
      </c>
    </row>
    <row r="240" spans="1:14" x14ac:dyDescent="0.2">
      <c r="A240" s="1">
        <v>45640</v>
      </c>
      <c r="B240" t="s">
        <v>13</v>
      </c>
      <c r="C240" t="s">
        <v>29</v>
      </c>
      <c r="D240" t="s">
        <v>14</v>
      </c>
      <c r="E240">
        <v>2071</v>
      </c>
      <c r="F240">
        <v>0.9</v>
      </c>
      <c r="G240">
        <v>0.7</v>
      </c>
      <c r="H240">
        <v>1863.9</v>
      </c>
      <c r="I240">
        <v>1449.69999999999</v>
      </c>
      <c r="J240">
        <v>414.2</v>
      </c>
      <c r="K240">
        <f>Table1[[#This Row],[Liters_Sold]]</f>
        <v>2071</v>
      </c>
      <c r="L240">
        <f>Table1[[#This Row],[Delivery volume]]*0.05</f>
        <v>103.55000000000001</v>
      </c>
      <c r="M240" s="16">
        <f>Table1[[#This Row],[Delivery Cost]]/Table1[[#This Row],[Revenue]]</f>
        <v>5.5555555555555559E-2</v>
      </c>
      <c r="N240" t="str">
        <f t="shared" si="3"/>
        <v>Dec</v>
      </c>
    </row>
    <row r="241" spans="1:14" x14ac:dyDescent="0.2">
      <c r="A241" s="1">
        <v>45550</v>
      </c>
      <c r="B241" t="s">
        <v>31</v>
      </c>
      <c r="C241" t="s">
        <v>23</v>
      </c>
      <c r="D241" t="s">
        <v>18</v>
      </c>
      <c r="E241">
        <v>5217</v>
      </c>
      <c r="F241">
        <v>1.2</v>
      </c>
      <c r="G241">
        <v>1</v>
      </c>
      <c r="H241">
        <v>6260.4</v>
      </c>
      <c r="I241">
        <v>5217</v>
      </c>
      <c r="J241">
        <v>1043.3999999999901</v>
      </c>
      <c r="K241">
        <f>Table1[[#This Row],[Liters_Sold]]</f>
        <v>5217</v>
      </c>
      <c r="L241">
        <f>Table1[[#This Row],[Delivery volume]]*0.05</f>
        <v>260.85000000000002</v>
      </c>
      <c r="M241" s="16">
        <f>Table1[[#This Row],[Delivery Cost]]/Table1[[#This Row],[Revenue]]</f>
        <v>4.1666666666666671E-2</v>
      </c>
      <c r="N241" t="str">
        <f t="shared" si="3"/>
        <v>Sep</v>
      </c>
    </row>
    <row r="242" spans="1:14" x14ac:dyDescent="0.2">
      <c r="A242" s="1">
        <v>45439</v>
      </c>
      <c r="B242" t="s">
        <v>27</v>
      </c>
      <c r="C242" t="s">
        <v>11</v>
      </c>
      <c r="D242" t="s">
        <v>18</v>
      </c>
      <c r="E242">
        <v>1700</v>
      </c>
      <c r="F242">
        <v>1.2</v>
      </c>
      <c r="G242">
        <v>1</v>
      </c>
      <c r="H242">
        <v>2040</v>
      </c>
      <c r="I242">
        <v>1700</v>
      </c>
      <c r="J242">
        <v>340</v>
      </c>
      <c r="K242">
        <f>Table1[[#This Row],[Liters_Sold]]</f>
        <v>1700</v>
      </c>
      <c r="L242">
        <f>Table1[[#This Row],[Delivery volume]]*0.05</f>
        <v>85</v>
      </c>
      <c r="M242" s="16">
        <f>Table1[[#This Row],[Delivery Cost]]/Table1[[#This Row],[Revenue]]</f>
        <v>4.1666666666666664E-2</v>
      </c>
      <c r="N242" t="str">
        <f t="shared" si="3"/>
        <v>May</v>
      </c>
    </row>
    <row r="243" spans="1:14" x14ac:dyDescent="0.2">
      <c r="A243" s="1">
        <v>45543</v>
      </c>
      <c r="B243" t="s">
        <v>26</v>
      </c>
      <c r="C243" t="s">
        <v>20</v>
      </c>
      <c r="D243" t="s">
        <v>12</v>
      </c>
      <c r="E243">
        <v>4909</v>
      </c>
      <c r="F243">
        <v>1.25</v>
      </c>
      <c r="G243">
        <v>1.05</v>
      </c>
      <c r="H243">
        <v>6136.25</v>
      </c>
      <c r="I243">
        <v>5154.45</v>
      </c>
      <c r="J243">
        <v>981.8</v>
      </c>
      <c r="K243">
        <f>Table1[[#This Row],[Liters_Sold]]</f>
        <v>4909</v>
      </c>
      <c r="L243">
        <f>Table1[[#This Row],[Delivery volume]]*0.05</f>
        <v>245.45000000000002</v>
      </c>
      <c r="M243" s="16">
        <f>Table1[[#This Row],[Delivery Cost]]/Table1[[#This Row],[Revenue]]</f>
        <v>0.04</v>
      </c>
      <c r="N243" t="str">
        <f t="shared" si="3"/>
        <v>Sep</v>
      </c>
    </row>
    <row r="244" spans="1:14" x14ac:dyDescent="0.2">
      <c r="A244" s="1">
        <v>45637</v>
      </c>
      <c r="B244" t="s">
        <v>31</v>
      </c>
      <c r="C244" t="s">
        <v>29</v>
      </c>
      <c r="D244" t="s">
        <v>12</v>
      </c>
      <c r="E244">
        <v>3354</v>
      </c>
      <c r="F244">
        <v>1.25</v>
      </c>
      <c r="G244">
        <v>1.05</v>
      </c>
      <c r="H244">
        <v>4192.5</v>
      </c>
      <c r="I244">
        <v>3521.7</v>
      </c>
      <c r="J244">
        <v>670.79999999999905</v>
      </c>
      <c r="K244">
        <f>Table1[[#This Row],[Liters_Sold]]</f>
        <v>3354</v>
      </c>
      <c r="L244">
        <f>Table1[[#This Row],[Delivery volume]]*0.05</f>
        <v>167.70000000000002</v>
      </c>
      <c r="M244" s="16">
        <f>Table1[[#This Row],[Delivery Cost]]/Table1[[#This Row],[Revenue]]</f>
        <v>0.04</v>
      </c>
      <c r="N244" t="str">
        <f t="shared" si="3"/>
        <v>Dec</v>
      </c>
    </row>
    <row r="245" spans="1:14" x14ac:dyDescent="0.2">
      <c r="A245" s="1">
        <v>45438</v>
      </c>
      <c r="B245" t="s">
        <v>19</v>
      </c>
      <c r="C245" t="s">
        <v>11</v>
      </c>
      <c r="D245" t="s">
        <v>12</v>
      </c>
      <c r="E245">
        <v>3395</v>
      </c>
      <c r="F245">
        <v>1.25</v>
      </c>
      <c r="G245">
        <v>1.05</v>
      </c>
      <c r="H245">
        <v>4243.75</v>
      </c>
      <c r="I245">
        <v>3564.75</v>
      </c>
      <c r="J245">
        <v>679</v>
      </c>
      <c r="K245">
        <f>Table1[[#This Row],[Liters_Sold]]</f>
        <v>3395</v>
      </c>
      <c r="L245">
        <f>Table1[[#This Row],[Delivery volume]]*0.05</f>
        <v>169.75</v>
      </c>
      <c r="M245" s="16">
        <f>Table1[[#This Row],[Delivery Cost]]/Table1[[#This Row],[Revenue]]</f>
        <v>0.04</v>
      </c>
      <c r="N245" t="str">
        <f t="shared" si="3"/>
        <v>May</v>
      </c>
    </row>
    <row r="246" spans="1:14" x14ac:dyDescent="0.2">
      <c r="A246" s="1">
        <v>45439</v>
      </c>
      <c r="B246" t="s">
        <v>10</v>
      </c>
      <c r="C246" t="s">
        <v>23</v>
      </c>
      <c r="D246" t="s">
        <v>18</v>
      </c>
      <c r="E246">
        <v>1736</v>
      </c>
      <c r="F246">
        <v>1.2</v>
      </c>
      <c r="G246">
        <v>1</v>
      </c>
      <c r="H246">
        <v>2083.1999999999998</v>
      </c>
      <c r="I246">
        <v>1736</v>
      </c>
      <c r="J246">
        <v>347.19999999999902</v>
      </c>
      <c r="K246">
        <f>Table1[[#This Row],[Liters_Sold]]</f>
        <v>1736</v>
      </c>
      <c r="L246">
        <f>Table1[[#This Row],[Delivery volume]]*0.05</f>
        <v>86.800000000000011</v>
      </c>
      <c r="M246" s="16">
        <f>Table1[[#This Row],[Delivery Cost]]/Table1[[#This Row],[Revenue]]</f>
        <v>4.1666666666666678E-2</v>
      </c>
      <c r="N246" t="str">
        <f t="shared" si="3"/>
        <v>May</v>
      </c>
    </row>
    <row r="247" spans="1:14" x14ac:dyDescent="0.2">
      <c r="A247" s="1">
        <v>45643</v>
      </c>
      <c r="B247" t="s">
        <v>13</v>
      </c>
      <c r="C247" t="s">
        <v>17</v>
      </c>
      <c r="D247" t="s">
        <v>18</v>
      </c>
      <c r="E247">
        <v>636</v>
      </c>
      <c r="F247">
        <v>1.2</v>
      </c>
      <c r="G247">
        <v>1</v>
      </c>
      <c r="H247">
        <v>763.19999999999902</v>
      </c>
      <c r="I247">
        <v>636</v>
      </c>
      <c r="J247">
        <v>127.19999999999899</v>
      </c>
      <c r="K247">
        <f>Table1[[#This Row],[Liters_Sold]]</f>
        <v>636</v>
      </c>
      <c r="L247">
        <f>Table1[[#This Row],[Delivery volume]]*0.05</f>
        <v>31.8</v>
      </c>
      <c r="M247" s="16">
        <f>Table1[[#This Row],[Delivery Cost]]/Table1[[#This Row],[Revenue]]</f>
        <v>4.166666666666672E-2</v>
      </c>
      <c r="N247" t="str">
        <f t="shared" si="3"/>
        <v>Dec</v>
      </c>
    </row>
    <row r="248" spans="1:14" x14ac:dyDescent="0.2">
      <c r="A248" s="1">
        <v>45490</v>
      </c>
      <c r="B248" t="s">
        <v>31</v>
      </c>
      <c r="C248" t="s">
        <v>11</v>
      </c>
      <c r="D248" t="s">
        <v>14</v>
      </c>
      <c r="E248">
        <v>1529</v>
      </c>
      <c r="F248">
        <v>0.9</v>
      </c>
      <c r="G248">
        <v>0.7</v>
      </c>
      <c r="H248">
        <v>1376.1</v>
      </c>
      <c r="I248">
        <v>1070.3</v>
      </c>
      <c r="J248">
        <v>305.8</v>
      </c>
      <c r="K248">
        <f>Table1[[#This Row],[Liters_Sold]]</f>
        <v>1529</v>
      </c>
      <c r="L248">
        <f>Table1[[#This Row],[Delivery volume]]*0.05</f>
        <v>76.45</v>
      </c>
      <c r="M248" s="16">
        <f>Table1[[#This Row],[Delivery Cost]]/Table1[[#This Row],[Revenue]]</f>
        <v>5.5555555555555559E-2</v>
      </c>
      <c r="N248" t="str">
        <f t="shared" si="3"/>
        <v>Jul</v>
      </c>
    </row>
    <row r="249" spans="1:14" x14ac:dyDescent="0.2">
      <c r="A249" s="1">
        <v>45599</v>
      </c>
      <c r="B249" t="s">
        <v>26</v>
      </c>
      <c r="C249" t="s">
        <v>11</v>
      </c>
      <c r="D249" t="s">
        <v>12</v>
      </c>
      <c r="E249">
        <v>2656</v>
      </c>
      <c r="F249">
        <v>1.25</v>
      </c>
      <c r="G249">
        <v>1.05</v>
      </c>
      <c r="H249">
        <v>3320</v>
      </c>
      <c r="I249">
        <v>2788.8</v>
      </c>
      <c r="J249">
        <v>531.19999999999902</v>
      </c>
      <c r="K249">
        <f>Table1[[#This Row],[Liters_Sold]]</f>
        <v>2656</v>
      </c>
      <c r="L249">
        <f>Table1[[#This Row],[Delivery volume]]*0.05</f>
        <v>132.80000000000001</v>
      </c>
      <c r="M249" s="16">
        <f>Table1[[#This Row],[Delivery Cost]]/Table1[[#This Row],[Revenue]]</f>
        <v>0.04</v>
      </c>
      <c r="N249" t="str">
        <f t="shared" si="3"/>
        <v>Nov</v>
      </c>
    </row>
    <row r="250" spans="1:14" x14ac:dyDescent="0.2">
      <c r="A250" s="1">
        <v>45419</v>
      </c>
      <c r="B250" t="s">
        <v>16</v>
      </c>
      <c r="C250" t="s">
        <v>17</v>
      </c>
      <c r="D250" t="s">
        <v>18</v>
      </c>
      <c r="E250">
        <v>3094</v>
      </c>
      <c r="F250">
        <v>1.2</v>
      </c>
      <c r="G250">
        <v>1</v>
      </c>
      <c r="H250">
        <v>3712.7999999999902</v>
      </c>
      <c r="I250">
        <v>3094</v>
      </c>
      <c r="J250">
        <v>618.79999999999905</v>
      </c>
      <c r="K250">
        <f>Table1[[#This Row],[Liters_Sold]]</f>
        <v>3094</v>
      </c>
      <c r="L250">
        <f>Table1[[#This Row],[Delivery volume]]*0.05</f>
        <v>154.70000000000002</v>
      </c>
      <c r="M250" s="16">
        <f>Table1[[#This Row],[Delivery Cost]]/Table1[[#This Row],[Revenue]]</f>
        <v>4.1666666666666782E-2</v>
      </c>
      <c r="N250" t="str">
        <f t="shared" si="3"/>
        <v>May</v>
      </c>
    </row>
    <row r="251" spans="1:14" x14ac:dyDescent="0.2">
      <c r="A251" s="1">
        <v>45330</v>
      </c>
      <c r="B251" t="s">
        <v>22</v>
      </c>
      <c r="C251" t="s">
        <v>11</v>
      </c>
      <c r="D251" t="s">
        <v>18</v>
      </c>
      <c r="E251">
        <v>1161</v>
      </c>
      <c r="F251">
        <v>1.2</v>
      </c>
      <c r="G251">
        <v>1</v>
      </c>
      <c r="H251">
        <v>1393.2</v>
      </c>
      <c r="I251">
        <v>1161</v>
      </c>
      <c r="J251">
        <v>232.2</v>
      </c>
      <c r="K251">
        <f>Table1[[#This Row],[Liters_Sold]]</f>
        <v>1161</v>
      </c>
      <c r="L251">
        <f>Table1[[#This Row],[Delivery volume]]*0.05</f>
        <v>58.050000000000004</v>
      </c>
      <c r="M251" s="16">
        <f>Table1[[#This Row],[Delivery Cost]]/Table1[[#This Row],[Revenue]]</f>
        <v>4.1666666666666671E-2</v>
      </c>
      <c r="N251" t="str">
        <f t="shared" si="3"/>
        <v>Feb</v>
      </c>
    </row>
    <row r="252" spans="1:14" x14ac:dyDescent="0.2">
      <c r="A252" s="1">
        <v>45629</v>
      </c>
      <c r="B252" t="s">
        <v>24</v>
      </c>
      <c r="C252" t="s">
        <v>23</v>
      </c>
      <c r="D252" t="s">
        <v>18</v>
      </c>
      <c r="E252">
        <v>2972</v>
      </c>
      <c r="F252">
        <v>1.2</v>
      </c>
      <c r="G252">
        <v>1</v>
      </c>
      <c r="H252">
        <v>3566.4</v>
      </c>
      <c r="I252">
        <v>2972</v>
      </c>
      <c r="J252">
        <v>594.4</v>
      </c>
      <c r="K252">
        <f>Table1[[#This Row],[Liters_Sold]]</f>
        <v>2972</v>
      </c>
      <c r="L252">
        <f>Table1[[#This Row],[Delivery volume]]*0.05</f>
        <v>148.6</v>
      </c>
      <c r="M252" s="16">
        <f>Table1[[#This Row],[Delivery Cost]]/Table1[[#This Row],[Revenue]]</f>
        <v>4.1666666666666664E-2</v>
      </c>
      <c r="N252" t="str">
        <f t="shared" si="3"/>
        <v>Dec</v>
      </c>
    </row>
    <row r="253" spans="1:14" x14ac:dyDescent="0.2">
      <c r="A253" s="1">
        <v>45651</v>
      </c>
      <c r="B253" t="s">
        <v>28</v>
      </c>
      <c r="C253" t="s">
        <v>23</v>
      </c>
      <c r="D253" t="s">
        <v>18</v>
      </c>
      <c r="E253">
        <v>3177</v>
      </c>
      <c r="F253">
        <v>1.2</v>
      </c>
      <c r="G253">
        <v>1</v>
      </c>
      <c r="H253">
        <v>3812.3999999999901</v>
      </c>
      <c r="I253">
        <v>3177</v>
      </c>
      <c r="J253">
        <v>635.39999999999895</v>
      </c>
      <c r="K253">
        <f>Table1[[#This Row],[Liters_Sold]]</f>
        <v>3177</v>
      </c>
      <c r="L253">
        <f>Table1[[#This Row],[Delivery volume]]*0.05</f>
        <v>158.85000000000002</v>
      </c>
      <c r="M253" s="16">
        <f>Table1[[#This Row],[Delivery Cost]]/Table1[[#This Row],[Revenue]]</f>
        <v>4.1666666666666782E-2</v>
      </c>
      <c r="N253" t="str">
        <f t="shared" si="3"/>
        <v>Dec</v>
      </c>
    </row>
    <row r="254" spans="1:14" x14ac:dyDescent="0.2">
      <c r="A254" s="1">
        <v>45420</v>
      </c>
      <c r="B254" t="s">
        <v>24</v>
      </c>
      <c r="C254" t="s">
        <v>17</v>
      </c>
      <c r="D254" t="s">
        <v>12</v>
      </c>
      <c r="E254">
        <v>2808</v>
      </c>
      <c r="F254">
        <v>1.25</v>
      </c>
      <c r="G254">
        <v>1.05</v>
      </c>
      <c r="H254">
        <v>3510</v>
      </c>
      <c r="I254">
        <v>2948.4</v>
      </c>
      <c r="J254">
        <v>561.599999999999</v>
      </c>
      <c r="K254">
        <f>Table1[[#This Row],[Liters_Sold]]</f>
        <v>2808</v>
      </c>
      <c r="L254">
        <f>Table1[[#This Row],[Delivery volume]]*0.05</f>
        <v>140.4</v>
      </c>
      <c r="M254" s="16">
        <f>Table1[[#This Row],[Delivery Cost]]/Table1[[#This Row],[Revenue]]</f>
        <v>0.04</v>
      </c>
      <c r="N254" t="str">
        <f t="shared" si="3"/>
        <v>May</v>
      </c>
    </row>
    <row r="255" spans="1:14" x14ac:dyDescent="0.2">
      <c r="A255" s="1">
        <v>45558</v>
      </c>
      <c r="B255" t="s">
        <v>16</v>
      </c>
      <c r="C255" t="s">
        <v>20</v>
      </c>
      <c r="D255" t="s">
        <v>18</v>
      </c>
      <c r="E255">
        <v>586</v>
      </c>
      <c r="F255">
        <v>1.2</v>
      </c>
      <c r="G255">
        <v>1</v>
      </c>
      <c r="H255">
        <v>703.19999999999902</v>
      </c>
      <c r="I255">
        <v>586</v>
      </c>
      <c r="J255">
        <v>117.19999999999899</v>
      </c>
      <c r="K255">
        <f>Table1[[#This Row],[Liters_Sold]]</f>
        <v>586</v>
      </c>
      <c r="L255">
        <f>Table1[[#This Row],[Delivery volume]]*0.05</f>
        <v>29.3</v>
      </c>
      <c r="M255" s="16">
        <f>Table1[[#This Row],[Delivery Cost]]/Table1[[#This Row],[Revenue]]</f>
        <v>4.1666666666666727E-2</v>
      </c>
      <c r="N255" t="str">
        <f t="shared" si="3"/>
        <v>Sep</v>
      </c>
    </row>
    <row r="256" spans="1:14" x14ac:dyDescent="0.2">
      <c r="A256" s="1">
        <v>45442</v>
      </c>
      <c r="B256" t="s">
        <v>24</v>
      </c>
      <c r="C256" t="s">
        <v>29</v>
      </c>
      <c r="D256" t="s">
        <v>12</v>
      </c>
      <c r="E256">
        <v>3012</v>
      </c>
      <c r="F256">
        <v>1.25</v>
      </c>
      <c r="G256">
        <v>1.05</v>
      </c>
      <c r="H256">
        <v>3765</v>
      </c>
      <c r="I256">
        <v>3162.6</v>
      </c>
      <c r="J256">
        <v>602.4</v>
      </c>
      <c r="K256">
        <f>Table1[[#This Row],[Liters_Sold]]</f>
        <v>3012</v>
      </c>
      <c r="L256">
        <f>Table1[[#This Row],[Delivery volume]]*0.05</f>
        <v>150.6</v>
      </c>
      <c r="M256" s="16">
        <f>Table1[[#This Row],[Delivery Cost]]/Table1[[#This Row],[Revenue]]</f>
        <v>0.04</v>
      </c>
      <c r="N256" t="str">
        <f t="shared" si="3"/>
        <v>May</v>
      </c>
    </row>
    <row r="257" spans="1:14" x14ac:dyDescent="0.2">
      <c r="A257" s="1">
        <v>45589</v>
      </c>
      <c r="B257" t="s">
        <v>16</v>
      </c>
      <c r="C257" t="s">
        <v>20</v>
      </c>
      <c r="D257" t="s">
        <v>12</v>
      </c>
      <c r="E257">
        <v>3442</v>
      </c>
      <c r="F257">
        <v>1.25</v>
      </c>
      <c r="G257">
        <v>1.05</v>
      </c>
      <c r="H257">
        <v>4302.5</v>
      </c>
      <c r="I257">
        <v>3614.1</v>
      </c>
      <c r="J257">
        <v>688.39999999999895</v>
      </c>
      <c r="K257">
        <f>Table1[[#This Row],[Liters_Sold]]</f>
        <v>3442</v>
      </c>
      <c r="L257">
        <f>Table1[[#This Row],[Delivery volume]]*0.05</f>
        <v>172.10000000000002</v>
      </c>
      <c r="M257" s="16">
        <f>Table1[[#This Row],[Delivery Cost]]/Table1[[#This Row],[Revenue]]</f>
        <v>4.0000000000000008E-2</v>
      </c>
      <c r="N257" t="str">
        <f t="shared" si="3"/>
        <v>Oct</v>
      </c>
    </row>
    <row r="258" spans="1:14" x14ac:dyDescent="0.2">
      <c r="A258" s="1">
        <v>45390</v>
      </c>
      <c r="B258" t="s">
        <v>21</v>
      </c>
      <c r="C258" t="s">
        <v>11</v>
      </c>
      <c r="D258" t="s">
        <v>12</v>
      </c>
      <c r="E258">
        <v>3273</v>
      </c>
      <c r="F258">
        <v>1.25</v>
      </c>
      <c r="G258">
        <v>1.05</v>
      </c>
      <c r="H258">
        <v>4091.25</v>
      </c>
      <c r="I258">
        <v>3436.65</v>
      </c>
      <c r="J258">
        <v>654.599999999999</v>
      </c>
      <c r="K258">
        <f>Table1[[#This Row],[Liters_Sold]]</f>
        <v>3273</v>
      </c>
      <c r="L258">
        <f>Table1[[#This Row],[Delivery volume]]*0.05</f>
        <v>163.65</v>
      </c>
      <c r="M258" s="16">
        <f>Table1[[#This Row],[Delivery Cost]]/Table1[[#This Row],[Revenue]]</f>
        <v>0.04</v>
      </c>
      <c r="N258" t="str">
        <f t="shared" ref="N258:N321" si="4">TEXT(A258,"mmm")</f>
        <v>Apr</v>
      </c>
    </row>
    <row r="259" spans="1:14" x14ac:dyDescent="0.2">
      <c r="A259" s="1">
        <v>45554</v>
      </c>
      <c r="B259" t="s">
        <v>16</v>
      </c>
      <c r="C259" t="s">
        <v>29</v>
      </c>
      <c r="D259" t="s">
        <v>18</v>
      </c>
      <c r="E259">
        <v>3004</v>
      </c>
      <c r="F259">
        <v>1.2</v>
      </c>
      <c r="G259">
        <v>1</v>
      </c>
      <c r="H259">
        <v>3604.7999999999902</v>
      </c>
      <c r="I259">
        <v>3004</v>
      </c>
      <c r="J259">
        <v>600.79999999999905</v>
      </c>
      <c r="K259">
        <f>Table1[[#This Row],[Liters_Sold]]</f>
        <v>3004</v>
      </c>
      <c r="L259">
        <f>Table1[[#This Row],[Delivery volume]]*0.05</f>
        <v>150.20000000000002</v>
      </c>
      <c r="M259" s="16">
        <f>Table1[[#This Row],[Delivery Cost]]/Table1[[#This Row],[Revenue]]</f>
        <v>4.1666666666666782E-2</v>
      </c>
      <c r="N259" t="str">
        <f t="shared" si="4"/>
        <v>Sep</v>
      </c>
    </row>
    <row r="260" spans="1:14" x14ac:dyDescent="0.2">
      <c r="A260" s="1">
        <v>45543</v>
      </c>
      <c r="B260" t="s">
        <v>16</v>
      </c>
      <c r="C260" t="s">
        <v>17</v>
      </c>
      <c r="D260" t="s">
        <v>14</v>
      </c>
      <c r="E260">
        <v>5904</v>
      </c>
      <c r="F260">
        <v>0.9</v>
      </c>
      <c r="G260">
        <v>0.7</v>
      </c>
      <c r="H260">
        <v>5313.6</v>
      </c>
      <c r="I260">
        <v>4132.8</v>
      </c>
      <c r="J260">
        <v>1180.8</v>
      </c>
      <c r="K260">
        <f>Table1[[#This Row],[Liters_Sold]]</f>
        <v>5904</v>
      </c>
      <c r="L260">
        <f>Table1[[#This Row],[Delivery volume]]*0.05</f>
        <v>295.2</v>
      </c>
      <c r="M260" s="16">
        <f>Table1[[#This Row],[Delivery Cost]]/Table1[[#This Row],[Revenue]]</f>
        <v>5.5555555555555552E-2</v>
      </c>
      <c r="N260" t="str">
        <f t="shared" si="4"/>
        <v>Sep</v>
      </c>
    </row>
    <row r="261" spans="1:14" x14ac:dyDescent="0.2">
      <c r="A261" s="1">
        <v>45435</v>
      </c>
      <c r="B261" t="s">
        <v>30</v>
      </c>
      <c r="C261" t="s">
        <v>17</v>
      </c>
      <c r="D261" t="s">
        <v>18</v>
      </c>
      <c r="E261">
        <v>3810</v>
      </c>
      <c r="F261">
        <v>1.2</v>
      </c>
      <c r="G261">
        <v>1</v>
      </c>
      <c r="H261">
        <v>4572</v>
      </c>
      <c r="I261">
        <v>3810</v>
      </c>
      <c r="J261">
        <v>762</v>
      </c>
      <c r="K261">
        <f>Table1[[#This Row],[Liters_Sold]]</f>
        <v>3810</v>
      </c>
      <c r="L261">
        <f>Table1[[#This Row],[Delivery volume]]*0.05</f>
        <v>190.5</v>
      </c>
      <c r="M261" s="16">
        <f>Table1[[#This Row],[Delivery Cost]]/Table1[[#This Row],[Revenue]]</f>
        <v>4.1666666666666664E-2</v>
      </c>
      <c r="N261" t="str">
        <f t="shared" si="4"/>
        <v>May</v>
      </c>
    </row>
    <row r="262" spans="1:14" x14ac:dyDescent="0.2">
      <c r="A262" s="1">
        <v>45637</v>
      </c>
      <c r="B262" t="s">
        <v>16</v>
      </c>
      <c r="C262" t="s">
        <v>29</v>
      </c>
      <c r="D262" t="s">
        <v>18</v>
      </c>
      <c r="E262">
        <v>2200</v>
      </c>
      <c r="F262">
        <v>1.2</v>
      </c>
      <c r="G262">
        <v>1</v>
      </c>
      <c r="H262">
        <v>2640</v>
      </c>
      <c r="I262">
        <v>2200</v>
      </c>
      <c r="J262">
        <v>440</v>
      </c>
      <c r="K262">
        <f>Table1[[#This Row],[Liters_Sold]]</f>
        <v>2200</v>
      </c>
      <c r="L262">
        <f>Table1[[#This Row],[Delivery volume]]*0.05</f>
        <v>110</v>
      </c>
      <c r="M262" s="16">
        <f>Table1[[#This Row],[Delivery Cost]]/Table1[[#This Row],[Revenue]]</f>
        <v>4.1666666666666664E-2</v>
      </c>
      <c r="N262" t="str">
        <f t="shared" si="4"/>
        <v>Dec</v>
      </c>
    </row>
    <row r="263" spans="1:14" x14ac:dyDescent="0.2">
      <c r="A263" s="1">
        <v>45403</v>
      </c>
      <c r="B263" t="s">
        <v>19</v>
      </c>
      <c r="C263" t="s">
        <v>23</v>
      </c>
      <c r="D263" t="s">
        <v>18</v>
      </c>
      <c r="E263">
        <v>4170</v>
      </c>
      <c r="F263">
        <v>1.2</v>
      </c>
      <c r="G263">
        <v>1</v>
      </c>
      <c r="H263">
        <v>5004</v>
      </c>
      <c r="I263">
        <v>4170</v>
      </c>
      <c r="J263">
        <v>834</v>
      </c>
      <c r="K263">
        <f>Table1[[#This Row],[Liters_Sold]]</f>
        <v>4170</v>
      </c>
      <c r="L263">
        <f>Table1[[#This Row],[Delivery volume]]*0.05</f>
        <v>208.5</v>
      </c>
      <c r="M263" s="16">
        <f>Table1[[#This Row],[Delivery Cost]]/Table1[[#This Row],[Revenue]]</f>
        <v>4.1666666666666664E-2</v>
      </c>
      <c r="N263" t="str">
        <f t="shared" si="4"/>
        <v>Apr</v>
      </c>
    </row>
    <row r="264" spans="1:14" x14ac:dyDescent="0.2">
      <c r="A264" s="1">
        <v>45351</v>
      </c>
      <c r="B264" t="s">
        <v>22</v>
      </c>
      <c r="C264" t="s">
        <v>29</v>
      </c>
      <c r="D264" t="s">
        <v>18</v>
      </c>
      <c r="E264">
        <v>3200</v>
      </c>
      <c r="F264">
        <v>1.2</v>
      </c>
      <c r="G264">
        <v>1</v>
      </c>
      <c r="H264">
        <v>3840</v>
      </c>
      <c r="I264">
        <v>3200</v>
      </c>
      <c r="J264">
        <v>640</v>
      </c>
      <c r="K264">
        <f>Table1[[#This Row],[Liters_Sold]]</f>
        <v>3200</v>
      </c>
      <c r="L264">
        <f>Table1[[#This Row],[Delivery volume]]*0.05</f>
        <v>160</v>
      </c>
      <c r="M264" s="16">
        <f>Table1[[#This Row],[Delivery Cost]]/Table1[[#This Row],[Revenue]]</f>
        <v>4.1666666666666664E-2</v>
      </c>
      <c r="N264" t="str">
        <f t="shared" si="4"/>
        <v>Feb</v>
      </c>
    </row>
    <row r="265" spans="1:14" x14ac:dyDescent="0.2">
      <c r="A265" s="1">
        <v>45293</v>
      </c>
      <c r="B265" t="s">
        <v>25</v>
      </c>
      <c r="C265" t="s">
        <v>11</v>
      </c>
      <c r="D265" t="s">
        <v>12</v>
      </c>
      <c r="E265">
        <v>4129</v>
      </c>
      <c r="F265">
        <v>1.25</v>
      </c>
      <c r="G265">
        <v>1.05</v>
      </c>
      <c r="H265">
        <v>5161.25</v>
      </c>
      <c r="I265">
        <v>4335.45</v>
      </c>
      <c r="J265">
        <v>825.8</v>
      </c>
      <c r="K265">
        <f>Table1[[#This Row],[Liters_Sold]]</f>
        <v>4129</v>
      </c>
      <c r="L265">
        <f>Table1[[#This Row],[Delivery volume]]*0.05</f>
        <v>206.45000000000002</v>
      </c>
      <c r="M265" s="16">
        <f>Table1[[#This Row],[Delivery Cost]]/Table1[[#This Row],[Revenue]]</f>
        <v>0.04</v>
      </c>
      <c r="N265" t="str">
        <f t="shared" si="4"/>
        <v>Jan</v>
      </c>
    </row>
    <row r="266" spans="1:14" x14ac:dyDescent="0.2">
      <c r="A266" s="1">
        <v>45595</v>
      </c>
      <c r="B266" t="s">
        <v>31</v>
      </c>
      <c r="C266" t="s">
        <v>23</v>
      </c>
      <c r="D266" t="s">
        <v>12</v>
      </c>
      <c r="E266">
        <v>5090</v>
      </c>
      <c r="F266">
        <v>1.25</v>
      </c>
      <c r="G266">
        <v>1.05</v>
      </c>
      <c r="H266">
        <v>6362.5</v>
      </c>
      <c r="I266">
        <v>5344.5</v>
      </c>
      <c r="J266">
        <v>1018</v>
      </c>
      <c r="K266">
        <f>Table1[[#This Row],[Liters_Sold]]</f>
        <v>5090</v>
      </c>
      <c r="L266">
        <f>Table1[[#This Row],[Delivery volume]]*0.05</f>
        <v>254.5</v>
      </c>
      <c r="M266" s="16">
        <f>Table1[[#This Row],[Delivery Cost]]/Table1[[#This Row],[Revenue]]</f>
        <v>0.04</v>
      </c>
      <c r="N266" t="str">
        <f t="shared" si="4"/>
        <v>Oct</v>
      </c>
    </row>
    <row r="267" spans="1:14" x14ac:dyDescent="0.2">
      <c r="A267" s="1">
        <v>45545</v>
      </c>
      <c r="B267" t="s">
        <v>28</v>
      </c>
      <c r="C267" t="s">
        <v>17</v>
      </c>
      <c r="D267" t="s">
        <v>12</v>
      </c>
      <c r="E267">
        <v>2147</v>
      </c>
      <c r="F267">
        <v>1.25</v>
      </c>
      <c r="G267">
        <v>1.05</v>
      </c>
      <c r="H267">
        <v>2683.75</v>
      </c>
      <c r="I267">
        <v>2254.35</v>
      </c>
      <c r="J267">
        <v>429.4</v>
      </c>
      <c r="K267">
        <f>Table1[[#This Row],[Liters_Sold]]</f>
        <v>2147</v>
      </c>
      <c r="L267">
        <f>Table1[[#This Row],[Delivery volume]]*0.05</f>
        <v>107.35000000000001</v>
      </c>
      <c r="M267" s="16">
        <f>Table1[[#This Row],[Delivery Cost]]/Table1[[#This Row],[Revenue]]</f>
        <v>0.04</v>
      </c>
      <c r="N267" t="str">
        <f t="shared" si="4"/>
        <v>Sep</v>
      </c>
    </row>
    <row r="268" spans="1:14" x14ac:dyDescent="0.2">
      <c r="A268" s="1">
        <v>45431</v>
      </c>
      <c r="B268" t="s">
        <v>13</v>
      </c>
      <c r="C268" t="s">
        <v>29</v>
      </c>
      <c r="D268" t="s">
        <v>12</v>
      </c>
      <c r="E268">
        <v>5664</v>
      </c>
      <c r="F268">
        <v>1.25</v>
      </c>
      <c r="G268">
        <v>1.05</v>
      </c>
      <c r="H268">
        <v>7080</v>
      </c>
      <c r="I268">
        <v>5947.2</v>
      </c>
      <c r="J268">
        <v>1132.8</v>
      </c>
      <c r="K268">
        <f>Table1[[#This Row],[Liters_Sold]]</f>
        <v>5664</v>
      </c>
      <c r="L268">
        <f>Table1[[#This Row],[Delivery volume]]*0.05</f>
        <v>283.2</v>
      </c>
      <c r="M268" s="16">
        <f>Table1[[#This Row],[Delivery Cost]]/Table1[[#This Row],[Revenue]]</f>
        <v>0.04</v>
      </c>
      <c r="N268" t="str">
        <f t="shared" si="4"/>
        <v>May</v>
      </c>
    </row>
    <row r="269" spans="1:14" x14ac:dyDescent="0.2">
      <c r="A269" s="1">
        <v>45328</v>
      </c>
      <c r="B269" t="s">
        <v>22</v>
      </c>
      <c r="C269" t="s">
        <v>20</v>
      </c>
      <c r="D269" t="s">
        <v>12</v>
      </c>
      <c r="E269">
        <v>3818</v>
      </c>
      <c r="F269">
        <v>1.25</v>
      </c>
      <c r="G269">
        <v>1.05</v>
      </c>
      <c r="H269">
        <v>4772.5</v>
      </c>
      <c r="I269">
        <v>4008.9</v>
      </c>
      <c r="J269">
        <v>763.599999999999</v>
      </c>
      <c r="K269">
        <f>Table1[[#This Row],[Liters_Sold]]</f>
        <v>3818</v>
      </c>
      <c r="L269">
        <f>Table1[[#This Row],[Delivery volume]]*0.05</f>
        <v>190.9</v>
      </c>
      <c r="M269" s="16">
        <f>Table1[[#This Row],[Delivery Cost]]/Table1[[#This Row],[Revenue]]</f>
        <v>0.04</v>
      </c>
      <c r="N269" t="str">
        <f t="shared" si="4"/>
        <v>Feb</v>
      </c>
    </row>
    <row r="270" spans="1:14" x14ac:dyDescent="0.2">
      <c r="A270" s="1">
        <v>45451</v>
      </c>
      <c r="B270" t="s">
        <v>27</v>
      </c>
      <c r="C270" t="s">
        <v>20</v>
      </c>
      <c r="D270" t="s">
        <v>12</v>
      </c>
      <c r="E270">
        <v>4187</v>
      </c>
      <c r="F270">
        <v>1.25</v>
      </c>
      <c r="G270">
        <v>1.05</v>
      </c>
      <c r="H270">
        <v>5233.75</v>
      </c>
      <c r="I270">
        <v>4396.3500000000004</v>
      </c>
      <c r="J270">
        <v>837.39999999999895</v>
      </c>
      <c r="K270">
        <f>Table1[[#This Row],[Liters_Sold]]</f>
        <v>4187</v>
      </c>
      <c r="L270">
        <f>Table1[[#This Row],[Delivery volume]]*0.05</f>
        <v>209.35000000000002</v>
      </c>
      <c r="M270" s="16">
        <f>Table1[[#This Row],[Delivery Cost]]/Table1[[#This Row],[Revenue]]</f>
        <v>4.0000000000000008E-2</v>
      </c>
      <c r="N270" t="str">
        <f t="shared" si="4"/>
        <v>Jun</v>
      </c>
    </row>
    <row r="271" spans="1:14" x14ac:dyDescent="0.2">
      <c r="A271" s="1">
        <v>45300</v>
      </c>
      <c r="B271" t="s">
        <v>25</v>
      </c>
      <c r="C271" t="s">
        <v>11</v>
      </c>
      <c r="D271" t="s">
        <v>12</v>
      </c>
      <c r="E271">
        <v>1096</v>
      </c>
      <c r="F271">
        <v>1.25</v>
      </c>
      <c r="G271">
        <v>1.05</v>
      </c>
      <c r="H271">
        <v>1370</v>
      </c>
      <c r="I271">
        <v>1150.8</v>
      </c>
      <c r="J271">
        <v>219.2</v>
      </c>
      <c r="K271">
        <f>Table1[[#This Row],[Liters_Sold]]</f>
        <v>1096</v>
      </c>
      <c r="L271">
        <f>Table1[[#This Row],[Delivery volume]]*0.05</f>
        <v>54.800000000000004</v>
      </c>
      <c r="M271" s="16">
        <f>Table1[[#This Row],[Delivery Cost]]/Table1[[#This Row],[Revenue]]</f>
        <v>0.04</v>
      </c>
      <c r="N271" t="str">
        <f t="shared" si="4"/>
        <v>Jan</v>
      </c>
    </row>
    <row r="272" spans="1:14" x14ac:dyDescent="0.2">
      <c r="A272" s="1">
        <v>45524</v>
      </c>
      <c r="B272" t="s">
        <v>21</v>
      </c>
      <c r="C272" t="s">
        <v>20</v>
      </c>
      <c r="D272" t="s">
        <v>14</v>
      </c>
      <c r="E272">
        <v>5045</v>
      </c>
      <c r="F272">
        <v>0.9</v>
      </c>
      <c r="G272">
        <v>0.7</v>
      </c>
      <c r="H272">
        <v>4540.5</v>
      </c>
      <c r="I272">
        <v>3531.5</v>
      </c>
      <c r="J272">
        <v>1009</v>
      </c>
      <c r="K272">
        <f>Table1[[#This Row],[Liters_Sold]]</f>
        <v>5045</v>
      </c>
      <c r="L272">
        <f>Table1[[#This Row],[Delivery volume]]*0.05</f>
        <v>252.25</v>
      </c>
      <c r="M272" s="16">
        <f>Table1[[#This Row],[Delivery Cost]]/Table1[[#This Row],[Revenue]]</f>
        <v>5.5555555555555552E-2</v>
      </c>
      <c r="N272" t="str">
        <f t="shared" si="4"/>
        <v>Aug</v>
      </c>
    </row>
    <row r="273" spans="1:14" x14ac:dyDescent="0.2">
      <c r="A273" s="1">
        <v>45390</v>
      </c>
      <c r="B273" t="s">
        <v>21</v>
      </c>
      <c r="C273" t="s">
        <v>29</v>
      </c>
      <c r="D273" t="s">
        <v>12</v>
      </c>
      <c r="E273">
        <v>984</v>
      </c>
      <c r="F273">
        <v>1.25</v>
      </c>
      <c r="G273">
        <v>1.05</v>
      </c>
      <c r="H273">
        <v>1230</v>
      </c>
      <c r="I273">
        <v>1033.2</v>
      </c>
      <c r="J273">
        <v>196.79999999999899</v>
      </c>
      <c r="K273">
        <f>Table1[[#This Row],[Liters_Sold]]</f>
        <v>984</v>
      </c>
      <c r="L273">
        <f>Table1[[#This Row],[Delivery volume]]*0.05</f>
        <v>49.2</v>
      </c>
      <c r="M273" s="16">
        <f>Table1[[#This Row],[Delivery Cost]]/Table1[[#This Row],[Revenue]]</f>
        <v>0.04</v>
      </c>
      <c r="N273" t="str">
        <f t="shared" si="4"/>
        <v>Apr</v>
      </c>
    </row>
    <row r="274" spans="1:14" x14ac:dyDescent="0.2">
      <c r="A274" s="1">
        <v>45438</v>
      </c>
      <c r="B274" t="s">
        <v>15</v>
      </c>
      <c r="C274" t="s">
        <v>29</v>
      </c>
      <c r="D274" t="s">
        <v>12</v>
      </c>
      <c r="E274">
        <v>1145</v>
      </c>
      <c r="F274">
        <v>1.25</v>
      </c>
      <c r="G274">
        <v>1.05</v>
      </c>
      <c r="H274">
        <v>1431.25</v>
      </c>
      <c r="I274">
        <v>1202.25</v>
      </c>
      <c r="J274">
        <v>229</v>
      </c>
      <c r="K274">
        <f>Table1[[#This Row],[Liters_Sold]]</f>
        <v>1145</v>
      </c>
      <c r="L274">
        <f>Table1[[#This Row],[Delivery volume]]*0.05</f>
        <v>57.25</v>
      </c>
      <c r="M274" s="16">
        <f>Table1[[#This Row],[Delivery Cost]]/Table1[[#This Row],[Revenue]]</f>
        <v>0.04</v>
      </c>
      <c r="N274" t="str">
        <f t="shared" si="4"/>
        <v>May</v>
      </c>
    </row>
    <row r="275" spans="1:14" x14ac:dyDescent="0.2">
      <c r="A275" s="1">
        <v>45595</v>
      </c>
      <c r="B275" t="s">
        <v>10</v>
      </c>
      <c r="C275" t="s">
        <v>20</v>
      </c>
      <c r="D275" t="s">
        <v>12</v>
      </c>
      <c r="E275">
        <v>3589</v>
      </c>
      <c r="F275">
        <v>1.25</v>
      </c>
      <c r="G275">
        <v>1.05</v>
      </c>
      <c r="H275">
        <v>4486.25</v>
      </c>
      <c r="I275">
        <v>3768.45</v>
      </c>
      <c r="J275">
        <v>717.79999999999905</v>
      </c>
      <c r="K275">
        <f>Table1[[#This Row],[Liters_Sold]]</f>
        <v>3589</v>
      </c>
      <c r="L275">
        <f>Table1[[#This Row],[Delivery volume]]*0.05</f>
        <v>179.45000000000002</v>
      </c>
      <c r="M275" s="16">
        <f>Table1[[#This Row],[Delivery Cost]]/Table1[[#This Row],[Revenue]]</f>
        <v>0.04</v>
      </c>
      <c r="N275" t="str">
        <f t="shared" si="4"/>
        <v>Oct</v>
      </c>
    </row>
    <row r="276" spans="1:14" x14ac:dyDescent="0.2">
      <c r="A276" s="1">
        <v>45499</v>
      </c>
      <c r="B276" t="s">
        <v>16</v>
      </c>
      <c r="C276" t="s">
        <v>29</v>
      </c>
      <c r="D276" t="s">
        <v>18</v>
      </c>
      <c r="E276">
        <v>5257</v>
      </c>
      <c r="F276">
        <v>1.2</v>
      </c>
      <c r="G276">
        <v>1</v>
      </c>
      <c r="H276">
        <v>6308.4</v>
      </c>
      <c r="I276">
        <v>5257</v>
      </c>
      <c r="J276">
        <v>1051.3999999999901</v>
      </c>
      <c r="K276">
        <f>Table1[[#This Row],[Liters_Sold]]</f>
        <v>5257</v>
      </c>
      <c r="L276">
        <f>Table1[[#This Row],[Delivery volume]]*0.05</f>
        <v>262.85000000000002</v>
      </c>
      <c r="M276" s="16">
        <f>Table1[[#This Row],[Delivery Cost]]/Table1[[#This Row],[Revenue]]</f>
        <v>4.1666666666666671E-2</v>
      </c>
      <c r="N276" t="str">
        <f t="shared" si="4"/>
        <v>Jul</v>
      </c>
    </row>
    <row r="277" spans="1:14" x14ac:dyDescent="0.2">
      <c r="A277" s="1">
        <v>45422</v>
      </c>
      <c r="B277" t="s">
        <v>22</v>
      </c>
      <c r="C277" t="s">
        <v>11</v>
      </c>
      <c r="D277" t="s">
        <v>12</v>
      </c>
      <c r="E277">
        <v>5353</v>
      </c>
      <c r="F277">
        <v>1.25</v>
      </c>
      <c r="G277">
        <v>1.05</v>
      </c>
      <c r="H277">
        <v>6691.25</v>
      </c>
      <c r="I277">
        <v>5620.65</v>
      </c>
      <c r="J277">
        <v>1070.5999999999899</v>
      </c>
      <c r="K277">
        <f>Table1[[#This Row],[Liters_Sold]]</f>
        <v>5353</v>
      </c>
      <c r="L277">
        <f>Table1[[#This Row],[Delivery volume]]*0.05</f>
        <v>267.65000000000003</v>
      </c>
      <c r="M277" s="16">
        <f>Table1[[#This Row],[Delivery Cost]]/Table1[[#This Row],[Revenue]]</f>
        <v>4.0000000000000008E-2</v>
      </c>
      <c r="N277" t="str">
        <f t="shared" si="4"/>
        <v>May</v>
      </c>
    </row>
    <row r="278" spans="1:14" x14ac:dyDescent="0.2">
      <c r="A278" s="1">
        <v>45443</v>
      </c>
      <c r="B278" t="s">
        <v>26</v>
      </c>
      <c r="C278" t="s">
        <v>23</v>
      </c>
      <c r="D278" t="s">
        <v>12</v>
      </c>
      <c r="E278">
        <v>4884</v>
      </c>
      <c r="F278">
        <v>1.25</v>
      </c>
      <c r="G278">
        <v>1.05</v>
      </c>
      <c r="H278">
        <v>6105</v>
      </c>
      <c r="I278">
        <v>5128.2</v>
      </c>
      <c r="J278">
        <v>976.8</v>
      </c>
      <c r="K278">
        <f>Table1[[#This Row],[Liters_Sold]]</f>
        <v>4884</v>
      </c>
      <c r="L278">
        <f>Table1[[#This Row],[Delivery volume]]*0.05</f>
        <v>244.20000000000002</v>
      </c>
      <c r="M278" s="16">
        <f>Table1[[#This Row],[Delivery Cost]]/Table1[[#This Row],[Revenue]]</f>
        <v>0.04</v>
      </c>
      <c r="N278" t="str">
        <f t="shared" si="4"/>
        <v>May</v>
      </c>
    </row>
    <row r="279" spans="1:14" x14ac:dyDescent="0.2">
      <c r="A279" s="1">
        <v>45345</v>
      </c>
      <c r="B279" t="s">
        <v>30</v>
      </c>
      <c r="C279" t="s">
        <v>11</v>
      </c>
      <c r="D279" t="s">
        <v>18</v>
      </c>
      <c r="E279">
        <v>1220</v>
      </c>
      <c r="F279">
        <v>1.2</v>
      </c>
      <c r="G279">
        <v>1</v>
      </c>
      <c r="H279">
        <v>1464</v>
      </c>
      <c r="I279">
        <v>1220</v>
      </c>
      <c r="J279">
        <v>244</v>
      </c>
      <c r="K279">
        <f>Table1[[#This Row],[Liters_Sold]]</f>
        <v>1220</v>
      </c>
      <c r="L279">
        <f>Table1[[#This Row],[Delivery volume]]*0.05</f>
        <v>61</v>
      </c>
      <c r="M279" s="16">
        <f>Table1[[#This Row],[Delivery Cost]]/Table1[[#This Row],[Revenue]]</f>
        <v>4.1666666666666664E-2</v>
      </c>
      <c r="N279" t="str">
        <f t="shared" si="4"/>
        <v>Feb</v>
      </c>
    </row>
    <row r="280" spans="1:14" x14ac:dyDescent="0.2">
      <c r="A280" s="1">
        <v>45411</v>
      </c>
      <c r="B280" t="s">
        <v>24</v>
      </c>
      <c r="C280" t="s">
        <v>11</v>
      </c>
      <c r="D280" t="s">
        <v>12</v>
      </c>
      <c r="E280">
        <v>5233</v>
      </c>
      <c r="F280">
        <v>1.25</v>
      </c>
      <c r="G280">
        <v>1.05</v>
      </c>
      <c r="H280">
        <v>6541.25</v>
      </c>
      <c r="I280">
        <v>5494.65</v>
      </c>
      <c r="J280">
        <v>1046.5999999999899</v>
      </c>
      <c r="K280">
        <f>Table1[[#This Row],[Liters_Sold]]</f>
        <v>5233</v>
      </c>
      <c r="L280">
        <f>Table1[[#This Row],[Delivery volume]]*0.05</f>
        <v>261.65000000000003</v>
      </c>
      <c r="M280" s="16">
        <f>Table1[[#This Row],[Delivery Cost]]/Table1[[#This Row],[Revenue]]</f>
        <v>4.0000000000000008E-2</v>
      </c>
      <c r="N280" t="str">
        <f t="shared" si="4"/>
        <v>Apr</v>
      </c>
    </row>
    <row r="281" spans="1:14" x14ac:dyDescent="0.2">
      <c r="A281" s="1">
        <v>45452</v>
      </c>
      <c r="B281" t="s">
        <v>27</v>
      </c>
      <c r="C281" t="s">
        <v>29</v>
      </c>
      <c r="D281" t="s">
        <v>12</v>
      </c>
      <c r="E281">
        <v>998</v>
      </c>
      <c r="F281">
        <v>1.25</v>
      </c>
      <c r="G281">
        <v>1.05</v>
      </c>
      <c r="H281">
        <v>1247.5</v>
      </c>
      <c r="I281">
        <v>1047.9000000000001</v>
      </c>
      <c r="J281">
        <v>199.599999999999</v>
      </c>
      <c r="K281">
        <f>Table1[[#This Row],[Liters_Sold]]</f>
        <v>998</v>
      </c>
      <c r="L281">
        <f>Table1[[#This Row],[Delivery volume]]*0.05</f>
        <v>49.900000000000006</v>
      </c>
      <c r="M281" s="16">
        <f>Table1[[#This Row],[Delivery Cost]]/Table1[[#This Row],[Revenue]]</f>
        <v>4.0000000000000008E-2</v>
      </c>
      <c r="N281" t="str">
        <f t="shared" si="4"/>
        <v>Jun</v>
      </c>
    </row>
    <row r="282" spans="1:14" x14ac:dyDescent="0.2">
      <c r="A282" s="1">
        <v>45407</v>
      </c>
      <c r="B282" t="s">
        <v>21</v>
      </c>
      <c r="C282" t="s">
        <v>23</v>
      </c>
      <c r="D282" t="s">
        <v>12</v>
      </c>
      <c r="E282">
        <v>5229</v>
      </c>
      <c r="F282">
        <v>1.25</v>
      </c>
      <c r="G282">
        <v>1.05</v>
      </c>
      <c r="H282">
        <v>6536.25</v>
      </c>
      <c r="I282">
        <v>5490.45</v>
      </c>
      <c r="J282">
        <v>1045.8</v>
      </c>
      <c r="K282">
        <f>Table1[[#This Row],[Liters_Sold]]</f>
        <v>5229</v>
      </c>
      <c r="L282">
        <f>Table1[[#This Row],[Delivery volume]]*0.05</f>
        <v>261.45</v>
      </c>
      <c r="M282" s="16">
        <f>Table1[[#This Row],[Delivery Cost]]/Table1[[#This Row],[Revenue]]</f>
        <v>0.04</v>
      </c>
      <c r="N282" t="str">
        <f t="shared" si="4"/>
        <v>Apr</v>
      </c>
    </row>
    <row r="283" spans="1:14" x14ac:dyDescent="0.2">
      <c r="A283" s="1">
        <v>45366</v>
      </c>
      <c r="B283" t="s">
        <v>28</v>
      </c>
      <c r="C283" t="s">
        <v>29</v>
      </c>
      <c r="D283" t="s">
        <v>12</v>
      </c>
      <c r="E283">
        <v>2173</v>
      </c>
      <c r="F283">
        <v>1.25</v>
      </c>
      <c r="G283">
        <v>1.05</v>
      </c>
      <c r="H283">
        <v>2716.25</v>
      </c>
      <c r="I283">
        <v>2281.65</v>
      </c>
      <c r="J283">
        <v>434.599999999999</v>
      </c>
      <c r="K283">
        <f>Table1[[#This Row],[Liters_Sold]]</f>
        <v>2173</v>
      </c>
      <c r="L283">
        <f>Table1[[#This Row],[Delivery volume]]*0.05</f>
        <v>108.65</v>
      </c>
      <c r="M283" s="16">
        <f>Table1[[#This Row],[Delivery Cost]]/Table1[[#This Row],[Revenue]]</f>
        <v>0.04</v>
      </c>
      <c r="N283" t="str">
        <f t="shared" si="4"/>
        <v>Mar</v>
      </c>
    </row>
    <row r="284" spans="1:14" x14ac:dyDescent="0.2">
      <c r="A284" s="1">
        <v>45404</v>
      </c>
      <c r="B284" t="s">
        <v>21</v>
      </c>
      <c r="C284" t="s">
        <v>17</v>
      </c>
      <c r="D284" t="s">
        <v>12</v>
      </c>
      <c r="E284">
        <v>3567</v>
      </c>
      <c r="F284">
        <v>1.25</v>
      </c>
      <c r="G284">
        <v>1.05</v>
      </c>
      <c r="H284">
        <v>4458.75</v>
      </c>
      <c r="I284">
        <v>3745.35</v>
      </c>
      <c r="J284">
        <v>713.39999999999895</v>
      </c>
      <c r="K284">
        <f>Table1[[#This Row],[Liters_Sold]]</f>
        <v>3567</v>
      </c>
      <c r="L284">
        <f>Table1[[#This Row],[Delivery volume]]*0.05</f>
        <v>178.35000000000002</v>
      </c>
      <c r="M284" s="16">
        <f>Table1[[#This Row],[Delivery Cost]]/Table1[[#This Row],[Revenue]]</f>
        <v>4.0000000000000008E-2</v>
      </c>
      <c r="N284" t="str">
        <f t="shared" si="4"/>
        <v>Apr</v>
      </c>
    </row>
    <row r="285" spans="1:14" x14ac:dyDescent="0.2">
      <c r="A285" s="1">
        <v>45395</v>
      </c>
      <c r="B285" t="s">
        <v>13</v>
      </c>
      <c r="C285" t="s">
        <v>29</v>
      </c>
      <c r="D285" t="s">
        <v>12</v>
      </c>
      <c r="E285">
        <v>614</v>
      </c>
      <c r="F285">
        <v>1.25</v>
      </c>
      <c r="G285">
        <v>1.05</v>
      </c>
      <c r="H285">
        <v>767.5</v>
      </c>
      <c r="I285">
        <v>644.70000000000005</v>
      </c>
      <c r="J285">
        <v>122.799999999999</v>
      </c>
      <c r="K285">
        <f>Table1[[#This Row],[Liters_Sold]]</f>
        <v>614</v>
      </c>
      <c r="L285">
        <f>Table1[[#This Row],[Delivery volume]]*0.05</f>
        <v>30.700000000000003</v>
      </c>
      <c r="M285" s="16">
        <f>Table1[[#This Row],[Delivery Cost]]/Table1[[#This Row],[Revenue]]</f>
        <v>0.04</v>
      </c>
      <c r="N285" t="str">
        <f t="shared" si="4"/>
        <v>Apr</v>
      </c>
    </row>
    <row r="286" spans="1:14" x14ac:dyDescent="0.2">
      <c r="A286" s="1">
        <v>45631</v>
      </c>
      <c r="B286" t="s">
        <v>31</v>
      </c>
      <c r="C286" t="s">
        <v>29</v>
      </c>
      <c r="D286" t="s">
        <v>18</v>
      </c>
      <c r="E286">
        <v>3479</v>
      </c>
      <c r="F286">
        <v>1.2</v>
      </c>
      <c r="G286">
        <v>1</v>
      </c>
      <c r="H286">
        <v>4174.8</v>
      </c>
      <c r="I286">
        <v>3479</v>
      </c>
      <c r="J286">
        <v>695.8</v>
      </c>
      <c r="K286">
        <f>Table1[[#This Row],[Liters_Sold]]</f>
        <v>3479</v>
      </c>
      <c r="L286">
        <f>Table1[[#This Row],[Delivery volume]]*0.05</f>
        <v>173.95000000000002</v>
      </c>
      <c r="M286" s="16">
        <f>Table1[[#This Row],[Delivery Cost]]/Table1[[#This Row],[Revenue]]</f>
        <v>4.1666666666666671E-2</v>
      </c>
      <c r="N286" t="str">
        <f t="shared" si="4"/>
        <v>Dec</v>
      </c>
    </row>
    <row r="287" spans="1:14" x14ac:dyDescent="0.2">
      <c r="A287" s="1">
        <v>45545</v>
      </c>
      <c r="B287" t="s">
        <v>21</v>
      </c>
      <c r="C287" t="s">
        <v>29</v>
      </c>
      <c r="D287" t="s">
        <v>18</v>
      </c>
      <c r="E287">
        <v>5269</v>
      </c>
      <c r="F287">
        <v>1.2</v>
      </c>
      <c r="G287">
        <v>1</v>
      </c>
      <c r="H287">
        <v>6322.8</v>
      </c>
      <c r="I287">
        <v>5269</v>
      </c>
      <c r="J287">
        <v>1053.8</v>
      </c>
      <c r="K287">
        <f>Table1[[#This Row],[Liters_Sold]]</f>
        <v>5269</v>
      </c>
      <c r="L287">
        <f>Table1[[#This Row],[Delivery volume]]*0.05</f>
        <v>263.45</v>
      </c>
      <c r="M287" s="16">
        <f>Table1[[#This Row],[Delivery Cost]]/Table1[[#This Row],[Revenue]]</f>
        <v>4.1666666666666664E-2</v>
      </c>
      <c r="N287" t="str">
        <f t="shared" si="4"/>
        <v>Sep</v>
      </c>
    </row>
    <row r="288" spans="1:14" x14ac:dyDescent="0.2">
      <c r="A288" s="1">
        <v>45518</v>
      </c>
      <c r="B288" t="s">
        <v>13</v>
      </c>
      <c r="C288" t="s">
        <v>23</v>
      </c>
      <c r="D288" t="s">
        <v>18</v>
      </c>
      <c r="E288">
        <v>2236</v>
      </c>
      <c r="F288">
        <v>1.2</v>
      </c>
      <c r="G288">
        <v>1</v>
      </c>
      <c r="H288">
        <v>2683.2</v>
      </c>
      <c r="I288">
        <v>2236</v>
      </c>
      <c r="J288">
        <v>447.19999999999902</v>
      </c>
      <c r="K288">
        <f>Table1[[#This Row],[Liters_Sold]]</f>
        <v>2236</v>
      </c>
      <c r="L288">
        <f>Table1[[#This Row],[Delivery volume]]*0.05</f>
        <v>111.80000000000001</v>
      </c>
      <c r="M288" s="16">
        <f>Table1[[#This Row],[Delivery Cost]]/Table1[[#This Row],[Revenue]]</f>
        <v>4.1666666666666671E-2</v>
      </c>
      <c r="N288" t="str">
        <f t="shared" si="4"/>
        <v>Aug</v>
      </c>
    </row>
    <row r="289" spans="1:14" x14ac:dyDescent="0.2">
      <c r="A289" s="1">
        <v>45403</v>
      </c>
      <c r="B289" t="s">
        <v>22</v>
      </c>
      <c r="C289" t="s">
        <v>29</v>
      </c>
      <c r="D289" t="s">
        <v>12</v>
      </c>
      <c r="E289">
        <v>5853</v>
      </c>
      <c r="F289">
        <v>1.25</v>
      </c>
      <c r="G289">
        <v>1.05</v>
      </c>
      <c r="H289">
        <v>7316.25</v>
      </c>
      <c r="I289">
        <v>6145.65</v>
      </c>
      <c r="J289">
        <v>1170.5999999999899</v>
      </c>
      <c r="K289">
        <f>Table1[[#This Row],[Liters_Sold]]</f>
        <v>5853</v>
      </c>
      <c r="L289">
        <f>Table1[[#This Row],[Delivery volume]]*0.05</f>
        <v>292.65000000000003</v>
      </c>
      <c r="M289" s="16">
        <f>Table1[[#This Row],[Delivery Cost]]/Table1[[#This Row],[Revenue]]</f>
        <v>4.0000000000000008E-2</v>
      </c>
      <c r="N289" t="str">
        <f t="shared" si="4"/>
        <v>Apr</v>
      </c>
    </row>
    <row r="290" spans="1:14" x14ac:dyDescent="0.2">
      <c r="A290" s="1">
        <v>45390</v>
      </c>
      <c r="B290" t="s">
        <v>22</v>
      </c>
      <c r="C290" t="s">
        <v>23</v>
      </c>
      <c r="D290" t="s">
        <v>14</v>
      </c>
      <c r="E290">
        <v>4111</v>
      </c>
      <c r="F290">
        <v>0.9</v>
      </c>
      <c r="G290">
        <v>0.7</v>
      </c>
      <c r="H290">
        <v>3699.9</v>
      </c>
      <c r="I290">
        <v>2877.7</v>
      </c>
      <c r="J290">
        <v>822.2</v>
      </c>
      <c r="K290">
        <f>Table1[[#This Row],[Liters_Sold]]</f>
        <v>4111</v>
      </c>
      <c r="L290">
        <f>Table1[[#This Row],[Delivery volume]]*0.05</f>
        <v>205.55</v>
      </c>
      <c r="M290" s="16">
        <f>Table1[[#This Row],[Delivery Cost]]/Table1[[#This Row],[Revenue]]</f>
        <v>5.5555555555555559E-2</v>
      </c>
      <c r="N290" t="str">
        <f t="shared" si="4"/>
        <v>Apr</v>
      </c>
    </row>
    <row r="291" spans="1:14" x14ac:dyDescent="0.2">
      <c r="A291" s="1">
        <v>45444</v>
      </c>
      <c r="B291" t="s">
        <v>30</v>
      </c>
      <c r="C291" t="s">
        <v>20</v>
      </c>
      <c r="D291" t="s">
        <v>12</v>
      </c>
      <c r="E291">
        <v>2753</v>
      </c>
      <c r="F291">
        <v>1.25</v>
      </c>
      <c r="G291">
        <v>1.05</v>
      </c>
      <c r="H291">
        <v>3441.25</v>
      </c>
      <c r="I291">
        <v>2890.65</v>
      </c>
      <c r="J291">
        <v>550.599999999999</v>
      </c>
      <c r="K291">
        <f>Table1[[#This Row],[Liters_Sold]]</f>
        <v>2753</v>
      </c>
      <c r="L291">
        <f>Table1[[#This Row],[Delivery volume]]*0.05</f>
        <v>137.65</v>
      </c>
      <c r="M291" s="16">
        <f>Table1[[#This Row],[Delivery Cost]]/Table1[[#This Row],[Revenue]]</f>
        <v>0.04</v>
      </c>
      <c r="N291" t="str">
        <f t="shared" si="4"/>
        <v>Jun</v>
      </c>
    </row>
    <row r="292" spans="1:14" x14ac:dyDescent="0.2">
      <c r="A292" s="1">
        <v>45640</v>
      </c>
      <c r="B292" t="s">
        <v>10</v>
      </c>
      <c r="C292" t="s">
        <v>17</v>
      </c>
      <c r="D292" t="s">
        <v>12</v>
      </c>
      <c r="E292">
        <v>2794</v>
      </c>
      <c r="F292">
        <v>1.25</v>
      </c>
      <c r="G292">
        <v>1.05</v>
      </c>
      <c r="H292">
        <v>3492.5</v>
      </c>
      <c r="I292">
        <v>2933.7</v>
      </c>
      <c r="J292">
        <v>558.79999999999905</v>
      </c>
      <c r="K292">
        <f>Table1[[#This Row],[Liters_Sold]]</f>
        <v>2794</v>
      </c>
      <c r="L292">
        <f>Table1[[#This Row],[Delivery volume]]*0.05</f>
        <v>139.70000000000002</v>
      </c>
      <c r="M292" s="16">
        <f>Table1[[#This Row],[Delivery Cost]]/Table1[[#This Row],[Revenue]]</f>
        <v>4.0000000000000008E-2</v>
      </c>
      <c r="N292" t="str">
        <f t="shared" si="4"/>
        <v>Dec</v>
      </c>
    </row>
    <row r="293" spans="1:14" x14ac:dyDescent="0.2">
      <c r="A293" s="1">
        <v>45657</v>
      </c>
      <c r="B293" t="s">
        <v>15</v>
      </c>
      <c r="C293" t="s">
        <v>23</v>
      </c>
      <c r="D293" t="s">
        <v>18</v>
      </c>
      <c r="E293">
        <v>4130</v>
      </c>
      <c r="F293">
        <v>1.2</v>
      </c>
      <c r="G293">
        <v>1</v>
      </c>
      <c r="H293">
        <v>4956</v>
      </c>
      <c r="I293">
        <v>4130</v>
      </c>
      <c r="J293">
        <v>826</v>
      </c>
      <c r="K293">
        <f>Table1[[#This Row],[Liters_Sold]]</f>
        <v>4130</v>
      </c>
      <c r="L293">
        <f>Table1[[#This Row],[Delivery volume]]*0.05</f>
        <v>206.5</v>
      </c>
      <c r="M293" s="16">
        <f>Table1[[#This Row],[Delivery Cost]]/Table1[[#This Row],[Revenue]]</f>
        <v>4.1666666666666664E-2</v>
      </c>
      <c r="N293" t="str">
        <f t="shared" si="4"/>
        <v>Dec</v>
      </c>
    </row>
    <row r="294" spans="1:14" x14ac:dyDescent="0.2">
      <c r="A294" s="1">
        <v>45629</v>
      </c>
      <c r="B294" t="s">
        <v>25</v>
      </c>
      <c r="C294" t="s">
        <v>20</v>
      </c>
      <c r="D294" t="s">
        <v>12</v>
      </c>
      <c r="E294">
        <v>646</v>
      </c>
      <c r="F294">
        <v>1.25</v>
      </c>
      <c r="G294">
        <v>1.05</v>
      </c>
      <c r="H294">
        <v>807.5</v>
      </c>
      <c r="I294">
        <v>678.3</v>
      </c>
      <c r="J294">
        <v>129.19999999999899</v>
      </c>
      <c r="K294">
        <f>Table1[[#This Row],[Liters_Sold]]</f>
        <v>646</v>
      </c>
      <c r="L294">
        <f>Table1[[#This Row],[Delivery volume]]*0.05</f>
        <v>32.300000000000004</v>
      </c>
      <c r="M294" s="16">
        <f>Table1[[#This Row],[Delivery Cost]]/Table1[[#This Row],[Revenue]]</f>
        <v>4.0000000000000008E-2</v>
      </c>
      <c r="N294" t="str">
        <f t="shared" si="4"/>
        <v>Dec</v>
      </c>
    </row>
    <row r="295" spans="1:14" x14ac:dyDescent="0.2">
      <c r="A295" s="1">
        <v>45485</v>
      </c>
      <c r="B295" t="s">
        <v>21</v>
      </c>
      <c r="C295" t="s">
        <v>23</v>
      </c>
      <c r="D295" t="s">
        <v>12</v>
      </c>
      <c r="E295">
        <v>4482</v>
      </c>
      <c r="F295">
        <v>1.25</v>
      </c>
      <c r="G295">
        <v>1.05</v>
      </c>
      <c r="H295">
        <v>5602.5</v>
      </c>
      <c r="I295">
        <v>4706.1000000000004</v>
      </c>
      <c r="J295">
        <v>896.39999999999895</v>
      </c>
      <c r="K295">
        <f>Table1[[#This Row],[Liters_Sold]]</f>
        <v>4482</v>
      </c>
      <c r="L295">
        <f>Table1[[#This Row],[Delivery volume]]*0.05</f>
        <v>224.10000000000002</v>
      </c>
      <c r="M295" s="16">
        <f>Table1[[#This Row],[Delivery Cost]]/Table1[[#This Row],[Revenue]]</f>
        <v>0.04</v>
      </c>
      <c r="N295" t="str">
        <f t="shared" si="4"/>
        <v>Jul</v>
      </c>
    </row>
    <row r="296" spans="1:14" x14ac:dyDescent="0.2">
      <c r="A296" s="1">
        <v>45601</v>
      </c>
      <c r="B296" t="s">
        <v>28</v>
      </c>
      <c r="C296" t="s">
        <v>23</v>
      </c>
      <c r="D296" t="s">
        <v>18</v>
      </c>
      <c r="E296">
        <v>3953</v>
      </c>
      <c r="F296">
        <v>1.2</v>
      </c>
      <c r="G296">
        <v>1</v>
      </c>
      <c r="H296">
        <v>4743.5999999999904</v>
      </c>
      <c r="I296">
        <v>3953</v>
      </c>
      <c r="J296">
        <v>790.599999999999</v>
      </c>
      <c r="K296">
        <f>Table1[[#This Row],[Liters_Sold]]</f>
        <v>3953</v>
      </c>
      <c r="L296">
        <f>Table1[[#This Row],[Delivery volume]]*0.05</f>
        <v>197.65</v>
      </c>
      <c r="M296" s="16">
        <f>Table1[[#This Row],[Delivery Cost]]/Table1[[#This Row],[Revenue]]</f>
        <v>4.1666666666666755E-2</v>
      </c>
      <c r="N296" t="str">
        <f t="shared" si="4"/>
        <v>Nov</v>
      </c>
    </row>
    <row r="297" spans="1:14" x14ac:dyDescent="0.2">
      <c r="A297" s="1">
        <v>45454</v>
      </c>
      <c r="B297" t="s">
        <v>21</v>
      </c>
      <c r="C297" t="s">
        <v>17</v>
      </c>
      <c r="D297" t="s">
        <v>14</v>
      </c>
      <c r="E297">
        <v>5007</v>
      </c>
      <c r="F297">
        <v>0.9</v>
      </c>
      <c r="G297">
        <v>0.7</v>
      </c>
      <c r="H297">
        <v>4506.3</v>
      </c>
      <c r="I297">
        <v>3504.8999999999901</v>
      </c>
      <c r="J297">
        <v>1001.4</v>
      </c>
      <c r="K297">
        <f>Table1[[#This Row],[Liters_Sold]]</f>
        <v>5007</v>
      </c>
      <c r="L297">
        <f>Table1[[#This Row],[Delivery volume]]*0.05</f>
        <v>250.35000000000002</v>
      </c>
      <c r="M297" s="16">
        <f>Table1[[#This Row],[Delivery Cost]]/Table1[[#This Row],[Revenue]]</f>
        <v>5.5555555555555559E-2</v>
      </c>
      <c r="N297" t="str">
        <f t="shared" si="4"/>
        <v>Jun</v>
      </c>
    </row>
    <row r="298" spans="1:14" x14ac:dyDescent="0.2">
      <c r="A298" s="1">
        <v>45499</v>
      </c>
      <c r="B298" t="s">
        <v>15</v>
      </c>
      <c r="C298" t="s">
        <v>11</v>
      </c>
      <c r="D298" t="s">
        <v>12</v>
      </c>
      <c r="E298">
        <v>2910</v>
      </c>
      <c r="F298">
        <v>1.25</v>
      </c>
      <c r="G298">
        <v>1.05</v>
      </c>
      <c r="H298">
        <v>3637.5</v>
      </c>
      <c r="I298">
        <v>3055.5</v>
      </c>
      <c r="J298">
        <v>582</v>
      </c>
      <c r="K298">
        <f>Table1[[#This Row],[Liters_Sold]]</f>
        <v>2910</v>
      </c>
      <c r="L298">
        <f>Table1[[#This Row],[Delivery volume]]*0.05</f>
        <v>145.5</v>
      </c>
      <c r="M298" s="16">
        <f>Table1[[#This Row],[Delivery Cost]]/Table1[[#This Row],[Revenue]]</f>
        <v>0.04</v>
      </c>
      <c r="N298" t="str">
        <f t="shared" si="4"/>
        <v>Jul</v>
      </c>
    </row>
    <row r="299" spans="1:14" x14ac:dyDescent="0.2">
      <c r="A299" s="1">
        <v>45460</v>
      </c>
      <c r="B299" t="s">
        <v>32</v>
      </c>
      <c r="C299" t="s">
        <v>11</v>
      </c>
      <c r="D299" t="s">
        <v>18</v>
      </c>
      <c r="E299">
        <v>636</v>
      </c>
      <c r="F299">
        <v>1.2</v>
      </c>
      <c r="G299">
        <v>1</v>
      </c>
      <c r="H299">
        <v>763.19999999999902</v>
      </c>
      <c r="I299">
        <v>636</v>
      </c>
      <c r="J299">
        <v>127.19999999999899</v>
      </c>
      <c r="K299">
        <f>Table1[[#This Row],[Liters_Sold]]</f>
        <v>636</v>
      </c>
      <c r="L299">
        <f>Table1[[#This Row],[Delivery volume]]*0.05</f>
        <v>31.8</v>
      </c>
      <c r="M299" s="16">
        <f>Table1[[#This Row],[Delivery Cost]]/Table1[[#This Row],[Revenue]]</f>
        <v>4.166666666666672E-2</v>
      </c>
      <c r="N299" t="str">
        <f t="shared" si="4"/>
        <v>Jun</v>
      </c>
    </row>
    <row r="300" spans="1:14" x14ac:dyDescent="0.2">
      <c r="A300" s="1">
        <v>45452</v>
      </c>
      <c r="B300" t="s">
        <v>28</v>
      </c>
      <c r="C300" t="s">
        <v>23</v>
      </c>
      <c r="D300" t="s">
        <v>14</v>
      </c>
      <c r="E300">
        <v>3860</v>
      </c>
      <c r="F300">
        <v>0.9</v>
      </c>
      <c r="G300">
        <v>0.7</v>
      </c>
      <c r="H300">
        <v>3474</v>
      </c>
      <c r="I300">
        <v>2702</v>
      </c>
      <c r="J300">
        <v>772</v>
      </c>
      <c r="K300">
        <f>Table1[[#This Row],[Liters_Sold]]</f>
        <v>3860</v>
      </c>
      <c r="L300">
        <f>Table1[[#This Row],[Delivery volume]]*0.05</f>
        <v>193</v>
      </c>
      <c r="M300" s="16">
        <f>Table1[[#This Row],[Delivery Cost]]/Table1[[#This Row],[Revenue]]</f>
        <v>5.5555555555555552E-2</v>
      </c>
      <c r="N300" t="str">
        <f t="shared" si="4"/>
        <v>Jun</v>
      </c>
    </row>
    <row r="301" spans="1:14" x14ac:dyDescent="0.2">
      <c r="A301" s="1">
        <v>45359</v>
      </c>
      <c r="B301" t="s">
        <v>19</v>
      </c>
      <c r="C301" t="s">
        <v>29</v>
      </c>
      <c r="D301" t="s">
        <v>12</v>
      </c>
      <c r="E301">
        <v>3505</v>
      </c>
      <c r="F301">
        <v>1.25</v>
      </c>
      <c r="G301">
        <v>1.05</v>
      </c>
      <c r="H301">
        <v>4381.25</v>
      </c>
      <c r="I301">
        <v>3680.25</v>
      </c>
      <c r="J301">
        <v>701</v>
      </c>
      <c r="K301">
        <f>Table1[[#This Row],[Liters_Sold]]</f>
        <v>3505</v>
      </c>
      <c r="L301">
        <f>Table1[[#This Row],[Delivery volume]]*0.05</f>
        <v>175.25</v>
      </c>
      <c r="M301" s="16">
        <f>Table1[[#This Row],[Delivery Cost]]/Table1[[#This Row],[Revenue]]</f>
        <v>0.04</v>
      </c>
      <c r="N301" t="str">
        <f t="shared" si="4"/>
        <v>Mar</v>
      </c>
    </row>
    <row r="302" spans="1:14" x14ac:dyDescent="0.2">
      <c r="A302" s="1">
        <v>45580</v>
      </c>
      <c r="B302" t="s">
        <v>16</v>
      </c>
      <c r="C302" t="s">
        <v>20</v>
      </c>
      <c r="D302" t="s">
        <v>12</v>
      </c>
      <c r="E302">
        <v>4052</v>
      </c>
      <c r="F302">
        <v>1.25</v>
      </c>
      <c r="G302">
        <v>1.05</v>
      </c>
      <c r="H302">
        <v>5065</v>
      </c>
      <c r="I302">
        <v>4254.6000000000004</v>
      </c>
      <c r="J302">
        <v>810.39999999999895</v>
      </c>
      <c r="K302">
        <f>Table1[[#This Row],[Liters_Sold]]</f>
        <v>4052</v>
      </c>
      <c r="L302">
        <f>Table1[[#This Row],[Delivery volume]]*0.05</f>
        <v>202.60000000000002</v>
      </c>
      <c r="M302" s="16">
        <f>Table1[[#This Row],[Delivery Cost]]/Table1[[#This Row],[Revenue]]</f>
        <v>4.0000000000000008E-2</v>
      </c>
      <c r="N302" t="str">
        <f t="shared" si="4"/>
        <v>Oct</v>
      </c>
    </row>
    <row r="303" spans="1:14" x14ac:dyDescent="0.2">
      <c r="A303" s="1">
        <v>45568</v>
      </c>
      <c r="B303" t="s">
        <v>25</v>
      </c>
      <c r="C303" t="s">
        <v>29</v>
      </c>
      <c r="D303" t="s">
        <v>12</v>
      </c>
      <c r="E303">
        <v>518</v>
      </c>
      <c r="F303">
        <v>1.25</v>
      </c>
      <c r="G303">
        <v>1.05</v>
      </c>
      <c r="H303">
        <v>647.5</v>
      </c>
      <c r="I303">
        <v>543.9</v>
      </c>
      <c r="J303">
        <v>103.6</v>
      </c>
      <c r="K303">
        <f>Table1[[#This Row],[Liters_Sold]]</f>
        <v>518</v>
      </c>
      <c r="L303">
        <f>Table1[[#This Row],[Delivery volume]]*0.05</f>
        <v>25.900000000000002</v>
      </c>
      <c r="M303" s="16">
        <f>Table1[[#This Row],[Delivery Cost]]/Table1[[#This Row],[Revenue]]</f>
        <v>0.04</v>
      </c>
      <c r="N303" t="str">
        <f t="shared" si="4"/>
        <v>Oct</v>
      </c>
    </row>
    <row r="304" spans="1:14" x14ac:dyDescent="0.2">
      <c r="A304" s="1">
        <v>45595</v>
      </c>
      <c r="B304" t="s">
        <v>19</v>
      </c>
      <c r="C304" t="s">
        <v>29</v>
      </c>
      <c r="D304" t="s">
        <v>12</v>
      </c>
      <c r="E304">
        <v>2742</v>
      </c>
      <c r="F304">
        <v>1.25</v>
      </c>
      <c r="G304">
        <v>1.05</v>
      </c>
      <c r="H304">
        <v>3427.5</v>
      </c>
      <c r="I304">
        <v>2879.1</v>
      </c>
      <c r="J304">
        <v>548.4</v>
      </c>
      <c r="K304">
        <f>Table1[[#This Row],[Liters_Sold]]</f>
        <v>2742</v>
      </c>
      <c r="L304">
        <f>Table1[[#This Row],[Delivery volume]]*0.05</f>
        <v>137.1</v>
      </c>
      <c r="M304" s="16">
        <f>Table1[[#This Row],[Delivery Cost]]/Table1[[#This Row],[Revenue]]</f>
        <v>0.04</v>
      </c>
      <c r="N304" t="str">
        <f t="shared" si="4"/>
        <v>Oct</v>
      </c>
    </row>
    <row r="305" spans="1:14" x14ac:dyDescent="0.2">
      <c r="A305" s="1">
        <v>45426</v>
      </c>
      <c r="B305" t="s">
        <v>32</v>
      </c>
      <c r="C305" t="s">
        <v>23</v>
      </c>
      <c r="D305" t="s">
        <v>12</v>
      </c>
      <c r="E305">
        <v>5597</v>
      </c>
      <c r="F305">
        <v>1.25</v>
      </c>
      <c r="G305">
        <v>1.05</v>
      </c>
      <c r="H305">
        <v>6996.25</v>
      </c>
      <c r="I305">
        <v>5876.85</v>
      </c>
      <c r="J305">
        <v>1119.3999999999901</v>
      </c>
      <c r="K305">
        <f>Table1[[#This Row],[Liters_Sold]]</f>
        <v>5597</v>
      </c>
      <c r="L305">
        <f>Table1[[#This Row],[Delivery volume]]*0.05</f>
        <v>279.85000000000002</v>
      </c>
      <c r="M305" s="16">
        <f>Table1[[#This Row],[Delivery Cost]]/Table1[[#This Row],[Revenue]]</f>
        <v>0.04</v>
      </c>
      <c r="N305" t="str">
        <f t="shared" si="4"/>
        <v>May</v>
      </c>
    </row>
    <row r="306" spans="1:14" x14ac:dyDescent="0.2">
      <c r="A306" s="1">
        <v>45486</v>
      </c>
      <c r="B306" t="s">
        <v>32</v>
      </c>
      <c r="C306" t="s">
        <v>23</v>
      </c>
      <c r="D306" t="s">
        <v>14</v>
      </c>
      <c r="E306">
        <v>948</v>
      </c>
      <c r="F306">
        <v>0.9</v>
      </c>
      <c r="G306">
        <v>0.7</v>
      </c>
      <c r="H306">
        <v>853.2</v>
      </c>
      <c r="I306">
        <v>663.599999999999</v>
      </c>
      <c r="J306">
        <v>189.6</v>
      </c>
      <c r="K306">
        <f>Table1[[#This Row],[Liters_Sold]]</f>
        <v>948</v>
      </c>
      <c r="L306">
        <f>Table1[[#This Row],[Delivery volume]]*0.05</f>
        <v>47.400000000000006</v>
      </c>
      <c r="M306" s="16">
        <f>Table1[[#This Row],[Delivery Cost]]/Table1[[#This Row],[Revenue]]</f>
        <v>5.5555555555555559E-2</v>
      </c>
      <c r="N306" t="str">
        <f t="shared" si="4"/>
        <v>Jul</v>
      </c>
    </row>
    <row r="307" spans="1:14" x14ac:dyDescent="0.2">
      <c r="A307" s="1">
        <v>45419</v>
      </c>
      <c r="B307" t="s">
        <v>15</v>
      </c>
      <c r="C307" t="s">
        <v>23</v>
      </c>
      <c r="D307" t="s">
        <v>18</v>
      </c>
      <c r="E307">
        <v>2448</v>
      </c>
      <c r="F307">
        <v>1.2</v>
      </c>
      <c r="G307">
        <v>1</v>
      </c>
      <c r="H307">
        <v>2937.6</v>
      </c>
      <c r="I307">
        <v>2448</v>
      </c>
      <c r="J307">
        <v>489.599999999999</v>
      </c>
      <c r="K307">
        <f>Table1[[#This Row],[Liters_Sold]]</f>
        <v>2448</v>
      </c>
      <c r="L307">
        <f>Table1[[#This Row],[Delivery volume]]*0.05</f>
        <v>122.4</v>
      </c>
      <c r="M307" s="16">
        <f>Table1[[#This Row],[Delivery Cost]]/Table1[[#This Row],[Revenue]]</f>
        <v>4.1666666666666671E-2</v>
      </c>
      <c r="N307" t="str">
        <f t="shared" si="4"/>
        <v>May</v>
      </c>
    </row>
    <row r="308" spans="1:14" x14ac:dyDescent="0.2">
      <c r="A308" s="1">
        <v>45324</v>
      </c>
      <c r="B308" t="s">
        <v>21</v>
      </c>
      <c r="C308" t="s">
        <v>23</v>
      </c>
      <c r="D308" t="s">
        <v>18</v>
      </c>
      <c r="E308">
        <v>1445</v>
      </c>
      <c r="F308">
        <v>1.2</v>
      </c>
      <c r="G308">
        <v>1</v>
      </c>
      <c r="H308">
        <v>1734</v>
      </c>
      <c r="I308">
        <v>1445</v>
      </c>
      <c r="J308">
        <v>289</v>
      </c>
      <c r="K308">
        <f>Table1[[#This Row],[Liters_Sold]]</f>
        <v>1445</v>
      </c>
      <c r="L308">
        <f>Table1[[#This Row],[Delivery volume]]*0.05</f>
        <v>72.25</v>
      </c>
      <c r="M308" s="16">
        <f>Table1[[#This Row],[Delivery Cost]]/Table1[[#This Row],[Revenue]]</f>
        <v>4.1666666666666664E-2</v>
      </c>
      <c r="N308" t="str">
        <f t="shared" si="4"/>
        <v>Feb</v>
      </c>
    </row>
    <row r="309" spans="1:14" x14ac:dyDescent="0.2">
      <c r="A309" s="1">
        <v>45467</v>
      </c>
      <c r="B309" t="s">
        <v>15</v>
      </c>
      <c r="C309" t="s">
        <v>11</v>
      </c>
      <c r="D309" t="s">
        <v>12</v>
      </c>
      <c r="E309">
        <v>5973</v>
      </c>
      <c r="F309">
        <v>1.25</v>
      </c>
      <c r="G309">
        <v>1.05</v>
      </c>
      <c r="H309">
        <v>7466.25</v>
      </c>
      <c r="I309">
        <v>6271.65</v>
      </c>
      <c r="J309">
        <v>1194.5999999999899</v>
      </c>
      <c r="K309">
        <f>Table1[[#This Row],[Liters_Sold]]</f>
        <v>5973</v>
      </c>
      <c r="L309">
        <f>Table1[[#This Row],[Delivery volume]]*0.05</f>
        <v>298.65000000000003</v>
      </c>
      <c r="M309" s="16">
        <f>Table1[[#This Row],[Delivery Cost]]/Table1[[#This Row],[Revenue]]</f>
        <v>4.0000000000000008E-2</v>
      </c>
      <c r="N309" t="str">
        <f t="shared" si="4"/>
        <v>Jun</v>
      </c>
    </row>
    <row r="310" spans="1:14" x14ac:dyDescent="0.2">
      <c r="A310" s="1">
        <v>45313</v>
      </c>
      <c r="B310" t="s">
        <v>15</v>
      </c>
      <c r="C310" t="s">
        <v>23</v>
      </c>
      <c r="D310" t="s">
        <v>18</v>
      </c>
      <c r="E310">
        <v>4736</v>
      </c>
      <c r="F310">
        <v>1.2</v>
      </c>
      <c r="G310">
        <v>1</v>
      </c>
      <c r="H310">
        <v>5683.2</v>
      </c>
      <c r="I310">
        <v>4736</v>
      </c>
      <c r="J310">
        <v>947.19999999999902</v>
      </c>
      <c r="K310">
        <f>Table1[[#This Row],[Liters_Sold]]</f>
        <v>4736</v>
      </c>
      <c r="L310">
        <f>Table1[[#This Row],[Delivery volume]]*0.05</f>
        <v>236.8</v>
      </c>
      <c r="M310" s="16">
        <f>Table1[[#This Row],[Delivery Cost]]/Table1[[#This Row],[Revenue]]</f>
        <v>4.1666666666666671E-2</v>
      </c>
      <c r="N310" t="str">
        <f t="shared" si="4"/>
        <v>Jan</v>
      </c>
    </row>
    <row r="311" spans="1:14" x14ac:dyDescent="0.2">
      <c r="A311" s="1">
        <v>45529</v>
      </c>
      <c r="B311" t="s">
        <v>32</v>
      </c>
      <c r="C311" t="s">
        <v>11</v>
      </c>
      <c r="D311" t="s">
        <v>14</v>
      </c>
      <c r="E311">
        <v>2420</v>
      </c>
      <c r="F311">
        <v>0.9</v>
      </c>
      <c r="G311">
        <v>0.7</v>
      </c>
      <c r="H311">
        <v>2178</v>
      </c>
      <c r="I311">
        <v>1694</v>
      </c>
      <c r="J311">
        <v>484</v>
      </c>
      <c r="K311">
        <f>Table1[[#This Row],[Liters_Sold]]</f>
        <v>2420</v>
      </c>
      <c r="L311">
        <f>Table1[[#This Row],[Delivery volume]]*0.05</f>
        <v>121</v>
      </c>
      <c r="M311" s="16">
        <f>Table1[[#This Row],[Delivery Cost]]/Table1[[#This Row],[Revenue]]</f>
        <v>5.5555555555555552E-2</v>
      </c>
      <c r="N311" t="str">
        <f t="shared" si="4"/>
        <v>Aug</v>
      </c>
    </row>
    <row r="312" spans="1:14" x14ac:dyDescent="0.2">
      <c r="A312" s="1">
        <v>45449</v>
      </c>
      <c r="B312" t="s">
        <v>25</v>
      </c>
      <c r="C312" t="s">
        <v>11</v>
      </c>
      <c r="D312" t="s">
        <v>18</v>
      </c>
      <c r="E312">
        <v>3477</v>
      </c>
      <c r="F312">
        <v>1.2</v>
      </c>
      <c r="G312">
        <v>1</v>
      </c>
      <c r="H312">
        <v>4172.3999999999996</v>
      </c>
      <c r="I312">
        <v>3477</v>
      </c>
      <c r="J312">
        <v>695.39999999999895</v>
      </c>
      <c r="K312">
        <f>Table1[[#This Row],[Liters_Sold]]</f>
        <v>3477</v>
      </c>
      <c r="L312">
        <f>Table1[[#This Row],[Delivery volume]]*0.05</f>
        <v>173.85000000000002</v>
      </c>
      <c r="M312" s="16">
        <f>Table1[[#This Row],[Delivery Cost]]/Table1[[#This Row],[Revenue]]</f>
        <v>4.1666666666666678E-2</v>
      </c>
      <c r="N312" t="str">
        <f t="shared" si="4"/>
        <v>Jun</v>
      </c>
    </row>
    <row r="313" spans="1:14" x14ac:dyDescent="0.2">
      <c r="A313" s="1">
        <v>45329</v>
      </c>
      <c r="B313" t="s">
        <v>19</v>
      </c>
      <c r="C313" t="s">
        <v>23</v>
      </c>
      <c r="D313" t="s">
        <v>12</v>
      </c>
      <c r="E313">
        <v>4688</v>
      </c>
      <c r="F313">
        <v>1.25</v>
      </c>
      <c r="G313">
        <v>1.05</v>
      </c>
      <c r="H313">
        <v>5860</v>
      </c>
      <c r="I313">
        <v>4922.3999999999996</v>
      </c>
      <c r="J313">
        <v>937.599999999999</v>
      </c>
      <c r="K313">
        <f>Table1[[#This Row],[Liters_Sold]]</f>
        <v>4688</v>
      </c>
      <c r="L313">
        <f>Table1[[#This Row],[Delivery volume]]*0.05</f>
        <v>234.4</v>
      </c>
      <c r="M313" s="16">
        <f>Table1[[#This Row],[Delivery Cost]]/Table1[[#This Row],[Revenue]]</f>
        <v>0.04</v>
      </c>
      <c r="N313" t="str">
        <f t="shared" si="4"/>
        <v>Feb</v>
      </c>
    </row>
    <row r="314" spans="1:14" x14ac:dyDescent="0.2">
      <c r="A314" s="1">
        <v>45521</v>
      </c>
      <c r="B314" t="s">
        <v>24</v>
      </c>
      <c r="C314" t="s">
        <v>17</v>
      </c>
      <c r="D314" t="s">
        <v>18</v>
      </c>
      <c r="E314">
        <v>4515</v>
      </c>
      <c r="F314">
        <v>1.2</v>
      </c>
      <c r="G314">
        <v>1</v>
      </c>
      <c r="H314">
        <v>5418</v>
      </c>
      <c r="I314">
        <v>4515</v>
      </c>
      <c r="J314">
        <v>903</v>
      </c>
      <c r="K314">
        <f>Table1[[#This Row],[Liters_Sold]]</f>
        <v>4515</v>
      </c>
      <c r="L314">
        <f>Table1[[#This Row],[Delivery volume]]*0.05</f>
        <v>225.75</v>
      </c>
      <c r="M314" s="16">
        <f>Table1[[#This Row],[Delivery Cost]]/Table1[[#This Row],[Revenue]]</f>
        <v>4.1666666666666664E-2</v>
      </c>
      <c r="N314" t="str">
        <f t="shared" si="4"/>
        <v>Aug</v>
      </c>
    </row>
    <row r="315" spans="1:14" x14ac:dyDescent="0.2">
      <c r="A315" s="1">
        <v>45656</v>
      </c>
      <c r="B315" t="s">
        <v>21</v>
      </c>
      <c r="C315" t="s">
        <v>20</v>
      </c>
      <c r="D315" t="s">
        <v>12</v>
      </c>
      <c r="E315">
        <v>738</v>
      </c>
      <c r="F315">
        <v>1.25</v>
      </c>
      <c r="G315">
        <v>1.05</v>
      </c>
      <c r="H315">
        <v>922.5</v>
      </c>
      <c r="I315">
        <v>774.9</v>
      </c>
      <c r="J315">
        <v>147.6</v>
      </c>
      <c r="K315">
        <f>Table1[[#This Row],[Liters_Sold]]</f>
        <v>738</v>
      </c>
      <c r="L315">
        <f>Table1[[#This Row],[Delivery volume]]*0.05</f>
        <v>36.9</v>
      </c>
      <c r="M315" s="16">
        <f>Table1[[#This Row],[Delivery Cost]]/Table1[[#This Row],[Revenue]]</f>
        <v>0.04</v>
      </c>
      <c r="N315" t="str">
        <f t="shared" si="4"/>
        <v>Dec</v>
      </c>
    </row>
    <row r="316" spans="1:14" x14ac:dyDescent="0.2">
      <c r="A316" s="1">
        <v>45342</v>
      </c>
      <c r="B316" t="s">
        <v>32</v>
      </c>
      <c r="C316" t="s">
        <v>29</v>
      </c>
      <c r="D316" t="s">
        <v>12</v>
      </c>
      <c r="E316">
        <v>704</v>
      </c>
      <c r="F316">
        <v>1.25</v>
      </c>
      <c r="G316">
        <v>1.05</v>
      </c>
      <c r="H316">
        <v>880</v>
      </c>
      <c r="I316">
        <v>739.2</v>
      </c>
      <c r="J316">
        <v>140.79999999999899</v>
      </c>
      <c r="K316">
        <f>Table1[[#This Row],[Liters_Sold]]</f>
        <v>704</v>
      </c>
      <c r="L316">
        <f>Table1[[#This Row],[Delivery volume]]*0.05</f>
        <v>35.200000000000003</v>
      </c>
      <c r="M316" s="16">
        <f>Table1[[#This Row],[Delivery Cost]]/Table1[[#This Row],[Revenue]]</f>
        <v>0.04</v>
      </c>
      <c r="N316" t="str">
        <f t="shared" si="4"/>
        <v>Feb</v>
      </c>
    </row>
    <row r="317" spans="1:14" x14ac:dyDescent="0.2">
      <c r="A317" s="1">
        <v>45555</v>
      </c>
      <c r="B317" t="s">
        <v>19</v>
      </c>
      <c r="C317" t="s">
        <v>11</v>
      </c>
      <c r="D317" t="s">
        <v>12</v>
      </c>
      <c r="E317">
        <v>3107</v>
      </c>
      <c r="F317">
        <v>1.25</v>
      </c>
      <c r="G317">
        <v>1.05</v>
      </c>
      <c r="H317">
        <v>3883.75</v>
      </c>
      <c r="I317">
        <v>3262.35</v>
      </c>
      <c r="J317">
        <v>621.39999999999895</v>
      </c>
      <c r="K317">
        <f>Table1[[#This Row],[Liters_Sold]]</f>
        <v>3107</v>
      </c>
      <c r="L317">
        <f>Table1[[#This Row],[Delivery volume]]*0.05</f>
        <v>155.35000000000002</v>
      </c>
      <c r="M317" s="16">
        <f>Table1[[#This Row],[Delivery Cost]]/Table1[[#This Row],[Revenue]]</f>
        <v>4.0000000000000008E-2</v>
      </c>
      <c r="N317" t="str">
        <f t="shared" si="4"/>
        <v>Sep</v>
      </c>
    </row>
    <row r="318" spans="1:14" x14ac:dyDescent="0.2">
      <c r="A318" s="1">
        <v>45574</v>
      </c>
      <c r="B318" t="s">
        <v>10</v>
      </c>
      <c r="C318" t="s">
        <v>20</v>
      </c>
      <c r="D318" t="s">
        <v>18</v>
      </c>
      <c r="E318">
        <v>4840</v>
      </c>
      <c r="F318">
        <v>1.2</v>
      </c>
      <c r="G318">
        <v>1</v>
      </c>
      <c r="H318">
        <v>5808</v>
      </c>
      <c r="I318">
        <v>4840</v>
      </c>
      <c r="J318">
        <v>968</v>
      </c>
      <c r="K318">
        <f>Table1[[#This Row],[Liters_Sold]]</f>
        <v>4840</v>
      </c>
      <c r="L318">
        <f>Table1[[#This Row],[Delivery volume]]*0.05</f>
        <v>242</v>
      </c>
      <c r="M318" s="16">
        <f>Table1[[#This Row],[Delivery Cost]]/Table1[[#This Row],[Revenue]]</f>
        <v>4.1666666666666664E-2</v>
      </c>
      <c r="N318" t="str">
        <f t="shared" si="4"/>
        <v>Oct</v>
      </c>
    </row>
    <row r="319" spans="1:14" x14ac:dyDescent="0.2">
      <c r="A319" s="1">
        <v>45318</v>
      </c>
      <c r="B319" t="s">
        <v>24</v>
      </c>
      <c r="C319" t="s">
        <v>17</v>
      </c>
      <c r="D319" t="s">
        <v>18</v>
      </c>
      <c r="E319">
        <v>5427</v>
      </c>
      <c r="F319">
        <v>1.2</v>
      </c>
      <c r="G319">
        <v>1</v>
      </c>
      <c r="H319">
        <v>6512.4</v>
      </c>
      <c r="I319">
        <v>5427</v>
      </c>
      <c r="J319">
        <v>1085.3999999999901</v>
      </c>
      <c r="K319">
        <f>Table1[[#This Row],[Liters_Sold]]</f>
        <v>5427</v>
      </c>
      <c r="L319">
        <f>Table1[[#This Row],[Delivery volume]]*0.05</f>
        <v>271.35000000000002</v>
      </c>
      <c r="M319" s="16">
        <f>Table1[[#This Row],[Delivery Cost]]/Table1[[#This Row],[Revenue]]</f>
        <v>4.1666666666666671E-2</v>
      </c>
      <c r="N319" t="str">
        <f t="shared" si="4"/>
        <v>Jan</v>
      </c>
    </row>
    <row r="320" spans="1:14" x14ac:dyDescent="0.2">
      <c r="A320" s="1">
        <v>45517</v>
      </c>
      <c r="B320" t="s">
        <v>24</v>
      </c>
      <c r="C320" t="s">
        <v>29</v>
      </c>
      <c r="D320" t="s">
        <v>12</v>
      </c>
      <c r="E320">
        <v>3888</v>
      </c>
      <c r="F320">
        <v>1.25</v>
      </c>
      <c r="G320">
        <v>1.05</v>
      </c>
      <c r="H320">
        <v>4860</v>
      </c>
      <c r="I320">
        <v>4082.4</v>
      </c>
      <c r="J320">
        <v>777.599999999999</v>
      </c>
      <c r="K320">
        <f>Table1[[#This Row],[Liters_Sold]]</f>
        <v>3888</v>
      </c>
      <c r="L320">
        <f>Table1[[#This Row],[Delivery volume]]*0.05</f>
        <v>194.4</v>
      </c>
      <c r="M320" s="16">
        <f>Table1[[#This Row],[Delivery Cost]]/Table1[[#This Row],[Revenue]]</f>
        <v>0.04</v>
      </c>
      <c r="N320" t="str">
        <f t="shared" si="4"/>
        <v>Aug</v>
      </c>
    </row>
    <row r="321" spans="1:14" x14ac:dyDescent="0.2">
      <c r="A321" s="1">
        <v>45568</v>
      </c>
      <c r="B321" t="s">
        <v>22</v>
      </c>
      <c r="C321" t="s">
        <v>29</v>
      </c>
      <c r="D321" t="s">
        <v>12</v>
      </c>
      <c r="E321">
        <v>3472</v>
      </c>
      <c r="F321">
        <v>1.25</v>
      </c>
      <c r="G321">
        <v>1.05</v>
      </c>
      <c r="H321">
        <v>4340</v>
      </c>
      <c r="I321">
        <v>3645.6</v>
      </c>
      <c r="J321">
        <v>694.39999999999895</v>
      </c>
      <c r="K321">
        <f>Table1[[#This Row],[Liters_Sold]]</f>
        <v>3472</v>
      </c>
      <c r="L321">
        <f>Table1[[#This Row],[Delivery volume]]*0.05</f>
        <v>173.60000000000002</v>
      </c>
      <c r="M321" s="16">
        <f>Table1[[#This Row],[Delivery Cost]]/Table1[[#This Row],[Revenue]]</f>
        <v>4.0000000000000008E-2</v>
      </c>
      <c r="N321" t="str">
        <f t="shared" si="4"/>
        <v>Oct</v>
      </c>
    </row>
    <row r="322" spans="1:14" x14ac:dyDescent="0.2">
      <c r="A322" s="1">
        <v>45577</v>
      </c>
      <c r="B322" t="s">
        <v>30</v>
      </c>
      <c r="C322" t="s">
        <v>11</v>
      </c>
      <c r="D322" t="s">
        <v>12</v>
      </c>
      <c r="E322">
        <v>4890</v>
      </c>
      <c r="F322">
        <v>1.25</v>
      </c>
      <c r="G322">
        <v>1.05</v>
      </c>
      <c r="H322">
        <v>6112.5</v>
      </c>
      <c r="I322">
        <v>5134.5</v>
      </c>
      <c r="J322">
        <v>978</v>
      </c>
      <c r="K322">
        <f>Table1[[#This Row],[Liters_Sold]]</f>
        <v>4890</v>
      </c>
      <c r="L322">
        <f>Table1[[#This Row],[Delivery volume]]*0.05</f>
        <v>244.5</v>
      </c>
      <c r="M322" s="16">
        <f>Table1[[#This Row],[Delivery Cost]]/Table1[[#This Row],[Revenue]]</f>
        <v>0.04</v>
      </c>
      <c r="N322" t="str">
        <f t="shared" ref="N322:N385" si="5">TEXT(A322,"mmm")</f>
        <v>Oct</v>
      </c>
    </row>
    <row r="323" spans="1:14" x14ac:dyDescent="0.2">
      <c r="A323" s="1">
        <v>45388</v>
      </c>
      <c r="B323" t="s">
        <v>21</v>
      </c>
      <c r="C323" t="s">
        <v>23</v>
      </c>
      <c r="D323" t="s">
        <v>12</v>
      </c>
      <c r="E323">
        <v>3187</v>
      </c>
      <c r="F323">
        <v>1.25</v>
      </c>
      <c r="G323">
        <v>1.05</v>
      </c>
      <c r="H323">
        <v>3983.75</v>
      </c>
      <c r="I323">
        <v>3346.35</v>
      </c>
      <c r="J323">
        <v>637.39999999999895</v>
      </c>
      <c r="K323">
        <f>Table1[[#This Row],[Liters_Sold]]</f>
        <v>3187</v>
      </c>
      <c r="L323">
        <f>Table1[[#This Row],[Delivery volume]]*0.05</f>
        <v>159.35000000000002</v>
      </c>
      <c r="M323" s="16">
        <f>Table1[[#This Row],[Delivery Cost]]/Table1[[#This Row],[Revenue]]</f>
        <v>4.0000000000000008E-2</v>
      </c>
      <c r="N323" t="str">
        <f t="shared" si="5"/>
        <v>Apr</v>
      </c>
    </row>
    <row r="324" spans="1:14" x14ac:dyDescent="0.2">
      <c r="A324" s="1">
        <v>45575</v>
      </c>
      <c r="B324" t="s">
        <v>24</v>
      </c>
      <c r="C324" t="s">
        <v>17</v>
      </c>
      <c r="D324" t="s">
        <v>12</v>
      </c>
      <c r="E324">
        <v>5451</v>
      </c>
      <c r="F324">
        <v>1.25</v>
      </c>
      <c r="G324">
        <v>1.05</v>
      </c>
      <c r="H324">
        <v>6813.75</v>
      </c>
      <c r="I324">
        <v>5723.55</v>
      </c>
      <c r="J324">
        <v>1090.19999999999</v>
      </c>
      <c r="K324">
        <f>Table1[[#This Row],[Liters_Sold]]</f>
        <v>5451</v>
      </c>
      <c r="L324">
        <f>Table1[[#This Row],[Delivery volume]]*0.05</f>
        <v>272.55</v>
      </c>
      <c r="M324" s="16">
        <f>Table1[[#This Row],[Delivery Cost]]/Table1[[#This Row],[Revenue]]</f>
        <v>0.04</v>
      </c>
      <c r="N324" t="str">
        <f t="shared" si="5"/>
        <v>Oct</v>
      </c>
    </row>
    <row r="325" spans="1:14" x14ac:dyDescent="0.2">
      <c r="A325" s="1">
        <v>45608</v>
      </c>
      <c r="B325" t="s">
        <v>32</v>
      </c>
      <c r="C325" t="s">
        <v>11</v>
      </c>
      <c r="D325" t="s">
        <v>12</v>
      </c>
      <c r="E325">
        <v>4666</v>
      </c>
      <c r="F325">
        <v>1.25</v>
      </c>
      <c r="G325">
        <v>1.05</v>
      </c>
      <c r="H325">
        <v>5832.5</v>
      </c>
      <c r="I325">
        <v>4899.3</v>
      </c>
      <c r="J325">
        <v>933.19999999999902</v>
      </c>
      <c r="K325">
        <f>Table1[[#This Row],[Liters_Sold]]</f>
        <v>4666</v>
      </c>
      <c r="L325">
        <f>Table1[[#This Row],[Delivery volume]]*0.05</f>
        <v>233.3</v>
      </c>
      <c r="M325" s="16">
        <f>Table1[[#This Row],[Delivery Cost]]/Table1[[#This Row],[Revenue]]</f>
        <v>0.04</v>
      </c>
      <c r="N325" t="str">
        <f t="shared" si="5"/>
        <v>Nov</v>
      </c>
    </row>
    <row r="326" spans="1:14" x14ac:dyDescent="0.2">
      <c r="A326" s="1">
        <v>45595</v>
      </c>
      <c r="B326" t="s">
        <v>22</v>
      </c>
      <c r="C326" t="s">
        <v>17</v>
      </c>
      <c r="D326" t="s">
        <v>18</v>
      </c>
      <c r="E326">
        <v>5888</v>
      </c>
      <c r="F326">
        <v>1.2</v>
      </c>
      <c r="G326">
        <v>1</v>
      </c>
      <c r="H326">
        <v>7065.5999999999904</v>
      </c>
      <c r="I326">
        <v>5888</v>
      </c>
      <c r="J326">
        <v>1177.5999999999899</v>
      </c>
      <c r="K326">
        <f>Table1[[#This Row],[Liters_Sold]]</f>
        <v>5888</v>
      </c>
      <c r="L326">
        <f>Table1[[#This Row],[Delivery volume]]*0.05</f>
        <v>294.40000000000003</v>
      </c>
      <c r="M326" s="16">
        <f>Table1[[#This Row],[Delivery Cost]]/Table1[[#This Row],[Revenue]]</f>
        <v>4.1666666666666727E-2</v>
      </c>
      <c r="N326" t="str">
        <f t="shared" si="5"/>
        <v>Oct</v>
      </c>
    </row>
    <row r="327" spans="1:14" x14ac:dyDescent="0.2">
      <c r="A327" s="1">
        <v>45438</v>
      </c>
      <c r="B327" t="s">
        <v>19</v>
      </c>
      <c r="C327" t="s">
        <v>23</v>
      </c>
      <c r="D327" t="s">
        <v>12</v>
      </c>
      <c r="E327">
        <v>1848</v>
      </c>
      <c r="F327">
        <v>1.25</v>
      </c>
      <c r="G327">
        <v>1.05</v>
      </c>
      <c r="H327">
        <v>2310</v>
      </c>
      <c r="I327">
        <v>1940.4</v>
      </c>
      <c r="J327">
        <v>369.599999999999</v>
      </c>
      <c r="K327">
        <f>Table1[[#This Row],[Liters_Sold]]</f>
        <v>1848</v>
      </c>
      <c r="L327">
        <f>Table1[[#This Row],[Delivery volume]]*0.05</f>
        <v>92.4</v>
      </c>
      <c r="M327" s="16">
        <f>Table1[[#This Row],[Delivery Cost]]/Table1[[#This Row],[Revenue]]</f>
        <v>0.04</v>
      </c>
      <c r="N327" t="str">
        <f t="shared" si="5"/>
        <v>May</v>
      </c>
    </row>
    <row r="328" spans="1:14" x14ac:dyDescent="0.2">
      <c r="A328" s="1">
        <v>45295</v>
      </c>
      <c r="B328" t="s">
        <v>10</v>
      </c>
      <c r="C328" t="s">
        <v>23</v>
      </c>
      <c r="D328" t="s">
        <v>12</v>
      </c>
      <c r="E328">
        <v>4900</v>
      </c>
      <c r="F328">
        <v>1.25</v>
      </c>
      <c r="G328">
        <v>1.05</v>
      </c>
      <c r="H328">
        <v>6125</v>
      </c>
      <c r="I328">
        <v>5145</v>
      </c>
      <c r="J328">
        <v>980</v>
      </c>
      <c r="K328">
        <f>Table1[[#This Row],[Liters_Sold]]</f>
        <v>4900</v>
      </c>
      <c r="L328">
        <f>Table1[[#This Row],[Delivery volume]]*0.05</f>
        <v>245</v>
      </c>
      <c r="M328" s="16">
        <f>Table1[[#This Row],[Delivery Cost]]/Table1[[#This Row],[Revenue]]</f>
        <v>0.04</v>
      </c>
      <c r="N328" t="str">
        <f t="shared" si="5"/>
        <v>Jan</v>
      </c>
    </row>
    <row r="329" spans="1:14" x14ac:dyDescent="0.2">
      <c r="A329" s="1">
        <v>45326</v>
      </c>
      <c r="B329" t="s">
        <v>13</v>
      </c>
      <c r="C329" t="s">
        <v>11</v>
      </c>
      <c r="D329" t="s">
        <v>12</v>
      </c>
      <c r="E329">
        <v>5626</v>
      </c>
      <c r="F329">
        <v>1.25</v>
      </c>
      <c r="G329">
        <v>1.05</v>
      </c>
      <c r="H329">
        <v>7032.5</v>
      </c>
      <c r="I329">
        <v>5907.3</v>
      </c>
      <c r="J329">
        <v>1125.19999999999</v>
      </c>
      <c r="K329">
        <f>Table1[[#This Row],[Liters_Sold]]</f>
        <v>5626</v>
      </c>
      <c r="L329">
        <f>Table1[[#This Row],[Delivery volume]]*0.05</f>
        <v>281.3</v>
      </c>
      <c r="M329" s="16">
        <f>Table1[[#This Row],[Delivery Cost]]/Table1[[#This Row],[Revenue]]</f>
        <v>0.04</v>
      </c>
      <c r="N329" t="str">
        <f t="shared" si="5"/>
        <v>Feb</v>
      </c>
    </row>
    <row r="330" spans="1:14" x14ac:dyDescent="0.2">
      <c r="A330" s="1">
        <v>45483</v>
      </c>
      <c r="B330" t="s">
        <v>21</v>
      </c>
      <c r="C330" t="s">
        <v>23</v>
      </c>
      <c r="D330" t="s">
        <v>14</v>
      </c>
      <c r="E330">
        <v>5933</v>
      </c>
      <c r="F330">
        <v>0.9</v>
      </c>
      <c r="G330">
        <v>0.7</v>
      </c>
      <c r="H330">
        <v>5339.7</v>
      </c>
      <c r="I330">
        <v>4153.0999999999904</v>
      </c>
      <c r="J330">
        <v>1186.5999999999999</v>
      </c>
      <c r="K330">
        <f>Table1[[#This Row],[Liters_Sold]]</f>
        <v>5933</v>
      </c>
      <c r="L330">
        <f>Table1[[#This Row],[Delivery volume]]*0.05</f>
        <v>296.65000000000003</v>
      </c>
      <c r="M330" s="16">
        <f>Table1[[#This Row],[Delivery Cost]]/Table1[[#This Row],[Revenue]]</f>
        <v>5.5555555555555566E-2</v>
      </c>
      <c r="N330" t="str">
        <f t="shared" si="5"/>
        <v>Jul</v>
      </c>
    </row>
    <row r="331" spans="1:14" x14ac:dyDescent="0.2">
      <c r="A331" s="1">
        <v>45340</v>
      </c>
      <c r="B331" t="s">
        <v>25</v>
      </c>
      <c r="C331" t="s">
        <v>20</v>
      </c>
      <c r="D331" t="s">
        <v>18</v>
      </c>
      <c r="E331">
        <v>1316</v>
      </c>
      <c r="F331">
        <v>1.2</v>
      </c>
      <c r="G331">
        <v>1</v>
      </c>
      <c r="H331">
        <v>1579.2</v>
      </c>
      <c r="I331">
        <v>1316</v>
      </c>
      <c r="J331">
        <v>263.2</v>
      </c>
      <c r="K331">
        <f>Table1[[#This Row],[Liters_Sold]]</f>
        <v>1316</v>
      </c>
      <c r="L331">
        <f>Table1[[#This Row],[Delivery volume]]*0.05</f>
        <v>65.8</v>
      </c>
      <c r="M331" s="16">
        <f>Table1[[#This Row],[Delivery Cost]]/Table1[[#This Row],[Revenue]]</f>
        <v>4.1666666666666664E-2</v>
      </c>
      <c r="N331" t="str">
        <f t="shared" si="5"/>
        <v>Feb</v>
      </c>
    </row>
    <row r="332" spans="1:14" x14ac:dyDescent="0.2">
      <c r="A332" s="1">
        <v>45308</v>
      </c>
      <c r="B332" t="s">
        <v>15</v>
      </c>
      <c r="C332" t="s">
        <v>29</v>
      </c>
      <c r="D332" t="s">
        <v>18</v>
      </c>
      <c r="E332">
        <v>5722</v>
      </c>
      <c r="F332">
        <v>1.2</v>
      </c>
      <c r="G332">
        <v>1</v>
      </c>
      <c r="H332">
        <v>6866.4</v>
      </c>
      <c r="I332">
        <v>5722</v>
      </c>
      <c r="J332">
        <v>1144.3999999999901</v>
      </c>
      <c r="K332">
        <f>Table1[[#This Row],[Liters_Sold]]</f>
        <v>5722</v>
      </c>
      <c r="L332">
        <f>Table1[[#This Row],[Delivery volume]]*0.05</f>
        <v>286.10000000000002</v>
      </c>
      <c r="M332" s="16">
        <f>Table1[[#This Row],[Delivery Cost]]/Table1[[#This Row],[Revenue]]</f>
        <v>4.1666666666666671E-2</v>
      </c>
      <c r="N332" t="str">
        <f t="shared" si="5"/>
        <v>Jan</v>
      </c>
    </row>
    <row r="333" spans="1:14" x14ac:dyDescent="0.2">
      <c r="A333" s="1">
        <v>45463</v>
      </c>
      <c r="B333" t="s">
        <v>28</v>
      </c>
      <c r="C333" t="s">
        <v>11</v>
      </c>
      <c r="D333" t="s">
        <v>12</v>
      </c>
      <c r="E333">
        <v>1320</v>
      </c>
      <c r="F333">
        <v>1.25</v>
      </c>
      <c r="G333">
        <v>1.05</v>
      </c>
      <c r="H333">
        <v>1650</v>
      </c>
      <c r="I333">
        <v>1386</v>
      </c>
      <c r="J333">
        <v>264</v>
      </c>
      <c r="K333">
        <f>Table1[[#This Row],[Liters_Sold]]</f>
        <v>1320</v>
      </c>
      <c r="L333">
        <f>Table1[[#This Row],[Delivery volume]]*0.05</f>
        <v>66</v>
      </c>
      <c r="M333" s="16">
        <f>Table1[[#This Row],[Delivery Cost]]/Table1[[#This Row],[Revenue]]</f>
        <v>0.04</v>
      </c>
      <c r="N333" t="str">
        <f t="shared" si="5"/>
        <v>Jun</v>
      </c>
    </row>
    <row r="334" spans="1:14" x14ac:dyDescent="0.2">
      <c r="A334" s="1">
        <v>45511</v>
      </c>
      <c r="B334" t="s">
        <v>28</v>
      </c>
      <c r="C334" t="s">
        <v>17</v>
      </c>
      <c r="D334" t="s">
        <v>18</v>
      </c>
      <c r="E334">
        <v>692</v>
      </c>
      <c r="F334">
        <v>1.2</v>
      </c>
      <c r="G334">
        <v>1</v>
      </c>
      <c r="H334">
        <v>830.4</v>
      </c>
      <c r="I334">
        <v>692</v>
      </c>
      <c r="J334">
        <v>138.39999999999901</v>
      </c>
      <c r="K334">
        <f>Table1[[#This Row],[Liters_Sold]]</f>
        <v>692</v>
      </c>
      <c r="L334">
        <f>Table1[[#This Row],[Delivery volume]]*0.05</f>
        <v>34.6</v>
      </c>
      <c r="M334" s="16">
        <f>Table1[[#This Row],[Delivery Cost]]/Table1[[#This Row],[Revenue]]</f>
        <v>4.1666666666666671E-2</v>
      </c>
      <c r="N334" t="str">
        <f t="shared" si="5"/>
        <v>Aug</v>
      </c>
    </row>
    <row r="335" spans="1:14" x14ac:dyDescent="0.2">
      <c r="A335" s="1">
        <v>45449</v>
      </c>
      <c r="B335" t="s">
        <v>19</v>
      </c>
      <c r="C335" t="s">
        <v>20</v>
      </c>
      <c r="D335" t="s">
        <v>12</v>
      </c>
      <c r="E335">
        <v>2276</v>
      </c>
      <c r="F335">
        <v>1.25</v>
      </c>
      <c r="G335">
        <v>1.05</v>
      </c>
      <c r="H335">
        <v>2845</v>
      </c>
      <c r="I335">
        <v>2389.8000000000002</v>
      </c>
      <c r="J335">
        <v>455.19999999999902</v>
      </c>
      <c r="K335">
        <f>Table1[[#This Row],[Liters_Sold]]</f>
        <v>2276</v>
      </c>
      <c r="L335">
        <f>Table1[[#This Row],[Delivery volume]]*0.05</f>
        <v>113.80000000000001</v>
      </c>
      <c r="M335" s="16">
        <f>Table1[[#This Row],[Delivery Cost]]/Table1[[#This Row],[Revenue]]</f>
        <v>0.04</v>
      </c>
      <c r="N335" t="str">
        <f t="shared" si="5"/>
        <v>Jun</v>
      </c>
    </row>
    <row r="336" spans="1:14" x14ac:dyDescent="0.2">
      <c r="A336" s="1">
        <v>45337</v>
      </c>
      <c r="B336" t="s">
        <v>26</v>
      </c>
      <c r="C336" t="s">
        <v>11</v>
      </c>
      <c r="D336" t="s">
        <v>18</v>
      </c>
      <c r="E336">
        <v>4145</v>
      </c>
      <c r="F336">
        <v>1.2</v>
      </c>
      <c r="G336">
        <v>1</v>
      </c>
      <c r="H336">
        <v>4974</v>
      </c>
      <c r="I336">
        <v>4145</v>
      </c>
      <c r="J336">
        <v>829</v>
      </c>
      <c r="K336">
        <f>Table1[[#This Row],[Liters_Sold]]</f>
        <v>4145</v>
      </c>
      <c r="L336">
        <f>Table1[[#This Row],[Delivery volume]]*0.05</f>
        <v>207.25</v>
      </c>
      <c r="M336" s="16">
        <f>Table1[[#This Row],[Delivery Cost]]/Table1[[#This Row],[Revenue]]</f>
        <v>4.1666666666666664E-2</v>
      </c>
      <c r="N336" t="str">
        <f t="shared" si="5"/>
        <v>Feb</v>
      </c>
    </row>
    <row r="337" spans="1:14" x14ac:dyDescent="0.2">
      <c r="A337" s="1">
        <v>45297</v>
      </c>
      <c r="B337" t="s">
        <v>26</v>
      </c>
      <c r="C337" t="s">
        <v>23</v>
      </c>
      <c r="D337" t="s">
        <v>14</v>
      </c>
      <c r="E337">
        <v>5124</v>
      </c>
      <c r="F337">
        <v>0.9</v>
      </c>
      <c r="G337">
        <v>0.7</v>
      </c>
      <c r="H337">
        <v>4611.6000000000004</v>
      </c>
      <c r="I337">
        <v>3586.7999999999902</v>
      </c>
      <c r="J337">
        <v>1024.8</v>
      </c>
      <c r="K337">
        <f>Table1[[#This Row],[Liters_Sold]]</f>
        <v>5124</v>
      </c>
      <c r="L337">
        <f>Table1[[#This Row],[Delivery volume]]*0.05</f>
        <v>256.2</v>
      </c>
      <c r="M337" s="16">
        <f>Table1[[#This Row],[Delivery Cost]]/Table1[[#This Row],[Revenue]]</f>
        <v>5.5555555555555546E-2</v>
      </c>
      <c r="N337" t="str">
        <f t="shared" si="5"/>
        <v>Jan</v>
      </c>
    </row>
    <row r="338" spans="1:14" x14ac:dyDescent="0.2">
      <c r="A338" s="1">
        <v>45390</v>
      </c>
      <c r="B338" t="s">
        <v>19</v>
      </c>
      <c r="C338" t="s">
        <v>23</v>
      </c>
      <c r="D338" t="s">
        <v>18</v>
      </c>
      <c r="E338">
        <v>750</v>
      </c>
      <c r="F338">
        <v>1.2</v>
      </c>
      <c r="G338">
        <v>1</v>
      </c>
      <c r="H338">
        <v>900</v>
      </c>
      <c r="I338">
        <v>750</v>
      </c>
      <c r="J338">
        <v>150</v>
      </c>
      <c r="K338">
        <f>Table1[[#This Row],[Liters_Sold]]</f>
        <v>750</v>
      </c>
      <c r="L338">
        <f>Table1[[#This Row],[Delivery volume]]*0.05</f>
        <v>37.5</v>
      </c>
      <c r="M338" s="16">
        <f>Table1[[#This Row],[Delivery Cost]]/Table1[[#This Row],[Revenue]]</f>
        <v>4.1666666666666664E-2</v>
      </c>
      <c r="N338" t="str">
        <f t="shared" si="5"/>
        <v>Apr</v>
      </c>
    </row>
    <row r="339" spans="1:14" x14ac:dyDescent="0.2">
      <c r="A339" s="1">
        <v>45524</v>
      </c>
      <c r="B339" t="s">
        <v>32</v>
      </c>
      <c r="C339" t="s">
        <v>23</v>
      </c>
      <c r="D339" t="s">
        <v>14</v>
      </c>
      <c r="E339">
        <v>2288</v>
      </c>
      <c r="F339">
        <v>0.9</v>
      </c>
      <c r="G339">
        <v>0.7</v>
      </c>
      <c r="H339">
        <v>2059.1999999999998</v>
      </c>
      <c r="I339">
        <v>1601.6</v>
      </c>
      <c r="J339">
        <v>457.6</v>
      </c>
      <c r="K339">
        <f>Table1[[#This Row],[Liters_Sold]]</f>
        <v>2288</v>
      </c>
      <c r="L339">
        <f>Table1[[#This Row],[Delivery volume]]*0.05</f>
        <v>114.4</v>
      </c>
      <c r="M339" s="16">
        <f>Table1[[#This Row],[Delivery Cost]]/Table1[[#This Row],[Revenue]]</f>
        <v>5.5555555555555566E-2</v>
      </c>
      <c r="N339" t="str">
        <f t="shared" si="5"/>
        <v>Aug</v>
      </c>
    </row>
    <row r="340" spans="1:14" x14ac:dyDescent="0.2">
      <c r="A340" s="1">
        <v>45328</v>
      </c>
      <c r="B340" t="s">
        <v>24</v>
      </c>
      <c r="C340" t="s">
        <v>23</v>
      </c>
      <c r="D340" t="s">
        <v>18</v>
      </c>
      <c r="E340">
        <v>4200</v>
      </c>
      <c r="F340">
        <v>1.2</v>
      </c>
      <c r="G340">
        <v>1</v>
      </c>
      <c r="H340">
        <v>5040</v>
      </c>
      <c r="I340">
        <v>4200</v>
      </c>
      <c r="J340">
        <v>840</v>
      </c>
      <c r="K340">
        <f>Table1[[#This Row],[Liters_Sold]]</f>
        <v>4200</v>
      </c>
      <c r="L340">
        <f>Table1[[#This Row],[Delivery volume]]*0.05</f>
        <v>210</v>
      </c>
      <c r="M340" s="16">
        <f>Table1[[#This Row],[Delivery Cost]]/Table1[[#This Row],[Revenue]]</f>
        <v>4.1666666666666664E-2</v>
      </c>
      <c r="N340" t="str">
        <f t="shared" si="5"/>
        <v>Feb</v>
      </c>
    </row>
    <row r="341" spans="1:14" x14ac:dyDescent="0.2">
      <c r="A341" s="1">
        <v>45571</v>
      </c>
      <c r="B341" t="s">
        <v>30</v>
      </c>
      <c r="C341" t="s">
        <v>17</v>
      </c>
      <c r="D341" t="s">
        <v>12</v>
      </c>
      <c r="E341">
        <v>2963</v>
      </c>
      <c r="F341">
        <v>1.25</v>
      </c>
      <c r="G341">
        <v>1.05</v>
      </c>
      <c r="H341">
        <v>3703.75</v>
      </c>
      <c r="I341">
        <v>3111.15</v>
      </c>
      <c r="J341">
        <v>592.599999999999</v>
      </c>
      <c r="K341">
        <f>Table1[[#This Row],[Liters_Sold]]</f>
        <v>2963</v>
      </c>
      <c r="L341">
        <f>Table1[[#This Row],[Delivery volume]]*0.05</f>
        <v>148.15</v>
      </c>
      <c r="M341" s="16">
        <f>Table1[[#This Row],[Delivery Cost]]/Table1[[#This Row],[Revenue]]</f>
        <v>0.04</v>
      </c>
      <c r="N341" t="str">
        <f t="shared" si="5"/>
        <v>Oct</v>
      </c>
    </row>
    <row r="342" spans="1:14" x14ac:dyDescent="0.2">
      <c r="A342" s="1">
        <v>45640</v>
      </c>
      <c r="B342" t="s">
        <v>21</v>
      </c>
      <c r="C342" t="s">
        <v>20</v>
      </c>
      <c r="D342" t="s">
        <v>14</v>
      </c>
      <c r="E342">
        <v>5999</v>
      </c>
      <c r="F342">
        <v>0.9</v>
      </c>
      <c r="G342">
        <v>0.7</v>
      </c>
      <c r="H342">
        <v>5399.1</v>
      </c>
      <c r="I342">
        <v>4199.3</v>
      </c>
      <c r="J342">
        <v>1199.8</v>
      </c>
      <c r="K342">
        <f>Table1[[#This Row],[Liters_Sold]]</f>
        <v>5999</v>
      </c>
      <c r="L342">
        <f>Table1[[#This Row],[Delivery volume]]*0.05</f>
        <v>299.95</v>
      </c>
      <c r="M342" s="16">
        <f>Table1[[#This Row],[Delivery Cost]]/Table1[[#This Row],[Revenue]]</f>
        <v>5.5555555555555552E-2</v>
      </c>
      <c r="N342" t="str">
        <f t="shared" si="5"/>
        <v>Dec</v>
      </c>
    </row>
    <row r="343" spans="1:14" x14ac:dyDescent="0.2">
      <c r="A343" s="1">
        <v>45593</v>
      </c>
      <c r="B343" t="s">
        <v>28</v>
      </c>
      <c r="C343" t="s">
        <v>29</v>
      </c>
      <c r="D343" t="s">
        <v>12</v>
      </c>
      <c r="E343">
        <v>1667</v>
      </c>
      <c r="F343">
        <v>1.25</v>
      </c>
      <c r="G343">
        <v>1.05</v>
      </c>
      <c r="H343">
        <v>2083.75</v>
      </c>
      <c r="I343">
        <v>1750.35</v>
      </c>
      <c r="J343">
        <v>333.39999999999901</v>
      </c>
      <c r="K343">
        <f>Table1[[#This Row],[Liters_Sold]]</f>
        <v>1667</v>
      </c>
      <c r="L343">
        <f>Table1[[#This Row],[Delivery volume]]*0.05</f>
        <v>83.350000000000009</v>
      </c>
      <c r="M343" s="16">
        <f>Table1[[#This Row],[Delivery Cost]]/Table1[[#This Row],[Revenue]]</f>
        <v>0.04</v>
      </c>
      <c r="N343" t="str">
        <f t="shared" si="5"/>
        <v>Oct</v>
      </c>
    </row>
    <row r="344" spans="1:14" x14ac:dyDescent="0.2">
      <c r="A344" s="1">
        <v>45472</v>
      </c>
      <c r="B344" t="s">
        <v>28</v>
      </c>
      <c r="C344" t="s">
        <v>17</v>
      </c>
      <c r="D344" t="s">
        <v>18</v>
      </c>
      <c r="E344">
        <v>4393</v>
      </c>
      <c r="F344">
        <v>1.2</v>
      </c>
      <c r="G344">
        <v>1</v>
      </c>
      <c r="H344">
        <v>5271.5999999999904</v>
      </c>
      <c r="I344">
        <v>4393</v>
      </c>
      <c r="J344">
        <v>878.599999999999</v>
      </c>
      <c r="K344">
        <f>Table1[[#This Row],[Liters_Sold]]</f>
        <v>4393</v>
      </c>
      <c r="L344">
        <f>Table1[[#This Row],[Delivery volume]]*0.05</f>
        <v>219.65</v>
      </c>
      <c r="M344" s="16">
        <f>Table1[[#This Row],[Delivery Cost]]/Table1[[#This Row],[Revenue]]</f>
        <v>4.1666666666666741E-2</v>
      </c>
      <c r="N344" t="str">
        <f t="shared" si="5"/>
        <v>Jun</v>
      </c>
    </row>
    <row r="345" spans="1:14" x14ac:dyDescent="0.2">
      <c r="A345" s="1">
        <v>45386</v>
      </c>
      <c r="B345" t="s">
        <v>30</v>
      </c>
      <c r="C345" t="s">
        <v>17</v>
      </c>
      <c r="D345" t="s">
        <v>12</v>
      </c>
      <c r="E345">
        <v>1596</v>
      </c>
      <c r="F345">
        <v>1.25</v>
      </c>
      <c r="G345">
        <v>1.05</v>
      </c>
      <c r="H345">
        <v>1995</v>
      </c>
      <c r="I345">
        <v>1675.8</v>
      </c>
      <c r="J345">
        <v>319.19999999999902</v>
      </c>
      <c r="K345">
        <f>Table1[[#This Row],[Liters_Sold]]</f>
        <v>1596</v>
      </c>
      <c r="L345">
        <f>Table1[[#This Row],[Delivery volume]]*0.05</f>
        <v>79.800000000000011</v>
      </c>
      <c r="M345" s="16">
        <f>Table1[[#This Row],[Delivery Cost]]/Table1[[#This Row],[Revenue]]</f>
        <v>4.0000000000000008E-2</v>
      </c>
      <c r="N345" t="str">
        <f t="shared" si="5"/>
        <v>Apr</v>
      </c>
    </row>
    <row r="346" spans="1:14" x14ac:dyDescent="0.2">
      <c r="A346" s="1">
        <v>45390</v>
      </c>
      <c r="B346" t="s">
        <v>24</v>
      </c>
      <c r="C346" t="s">
        <v>29</v>
      </c>
      <c r="D346" t="s">
        <v>12</v>
      </c>
      <c r="E346">
        <v>3179</v>
      </c>
      <c r="F346">
        <v>1.25</v>
      </c>
      <c r="G346">
        <v>1.05</v>
      </c>
      <c r="H346">
        <v>3973.75</v>
      </c>
      <c r="I346">
        <v>3337.95</v>
      </c>
      <c r="J346">
        <v>635.79999999999905</v>
      </c>
      <c r="K346">
        <f>Table1[[#This Row],[Liters_Sold]]</f>
        <v>3179</v>
      </c>
      <c r="L346">
        <f>Table1[[#This Row],[Delivery volume]]*0.05</f>
        <v>158.95000000000002</v>
      </c>
      <c r="M346" s="16">
        <f>Table1[[#This Row],[Delivery Cost]]/Table1[[#This Row],[Revenue]]</f>
        <v>0.04</v>
      </c>
      <c r="N346" t="str">
        <f t="shared" si="5"/>
        <v>Apr</v>
      </c>
    </row>
    <row r="347" spans="1:14" x14ac:dyDescent="0.2">
      <c r="A347" s="1">
        <v>45479</v>
      </c>
      <c r="B347" t="s">
        <v>28</v>
      </c>
      <c r="C347" t="s">
        <v>29</v>
      </c>
      <c r="D347" t="s">
        <v>12</v>
      </c>
      <c r="E347">
        <v>2347</v>
      </c>
      <c r="F347">
        <v>1.25</v>
      </c>
      <c r="G347">
        <v>1.05</v>
      </c>
      <c r="H347">
        <v>2933.75</v>
      </c>
      <c r="I347">
        <v>2464.35</v>
      </c>
      <c r="J347">
        <v>469.4</v>
      </c>
      <c r="K347">
        <f>Table1[[#This Row],[Liters_Sold]]</f>
        <v>2347</v>
      </c>
      <c r="L347">
        <f>Table1[[#This Row],[Delivery volume]]*0.05</f>
        <v>117.35000000000001</v>
      </c>
      <c r="M347" s="16">
        <f>Table1[[#This Row],[Delivery Cost]]/Table1[[#This Row],[Revenue]]</f>
        <v>0.04</v>
      </c>
      <c r="N347" t="str">
        <f t="shared" si="5"/>
        <v>Jul</v>
      </c>
    </row>
    <row r="348" spans="1:14" x14ac:dyDescent="0.2">
      <c r="A348" s="1">
        <v>45407</v>
      </c>
      <c r="B348" t="s">
        <v>15</v>
      </c>
      <c r="C348" t="s">
        <v>23</v>
      </c>
      <c r="D348" t="s">
        <v>12</v>
      </c>
      <c r="E348">
        <v>4404</v>
      </c>
      <c r="F348">
        <v>1.25</v>
      </c>
      <c r="G348">
        <v>1.05</v>
      </c>
      <c r="H348">
        <v>5505</v>
      </c>
      <c r="I348">
        <v>4624.2</v>
      </c>
      <c r="J348">
        <v>880.8</v>
      </c>
      <c r="K348">
        <f>Table1[[#This Row],[Liters_Sold]]</f>
        <v>4404</v>
      </c>
      <c r="L348">
        <f>Table1[[#This Row],[Delivery volume]]*0.05</f>
        <v>220.20000000000002</v>
      </c>
      <c r="M348" s="16">
        <f>Table1[[#This Row],[Delivery Cost]]/Table1[[#This Row],[Revenue]]</f>
        <v>0.04</v>
      </c>
      <c r="N348" t="str">
        <f t="shared" si="5"/>
        <v>Apr</v>
      </c>
    </row>
    <row r="349" spans="1:14" x14ac:dyDescent="0.2">
      <c r="A349" s="1">
        <v>45482</v>
      </c>
      <c r="B349" t="s">
        <v>25</v>
      </c>
      <c r="C349" t="s">
        <v>17</v>
      </c>
      <c r="D349" t="s">
        <v>12</v>
      </c>
      <c r="E349">
        <v>1004</v>
      </c>
      <c r="F349">
        <v>1.25</v>
      </c>
      <c r="G349">
        <v>1.05</v>
      </c>
      <c r="H349">
        <v>1255</v>
      </c>
      <c r="I349">
        <v>1054.2</v>
      </c>
      <c r="J349">
        <v>200.79999999999899</v>
      </c>
      <c r="K349">
        <f>Table1[[#This Row],[Liters_Sold]]</f>
        <v>1004</v>
      </c>
      <c r="L349">
        <f>Table1[[#This Row],[Delivery volume]]*0.05</f>
        <v>50.2</v>
      </c>
      <c r="M349" s="16">
        <f>Table1[[#This Row],[Delivery Cost]]/Table1[[#This Row],[Revenue]]</f>
        <v>0.04</v>
      </c>
      <c r="N349" t="str">
        <f t="shared" si="5"/>
        <v>Jul</v>
      </c>
    </row>
    <row r="350" spans="1:14" x14ac:dyDescent="0.2">
      <c r="A350" s="1">
        <v>45544</v>
      </c>
      <c r="B350" t="s">
        <v>21</v>
      </c>
      <c r="C350" t="s">
        <v>11</v>
      </c>
      <c r="D350" t="s">
        <v>18</v>
      </c>
      <c r="E350">
        <v>2121</v>
      </c>
      <c r="F350">
        <v>1.2</v>
      </c>
      <c r="G350">
        <v>1</v>
      </c>
      <c r="H350">
        <v>2545.1999999999998</v>
      </c>
      <c r="I350">
        <v>2121</v>
      </c>
      <c r="J350">
        <v>424.19999999999902</v>
      </c>
      <c r="K350">
        <f>Table1[[#This Row],[Liters_Sold]]</f>
        <v>2121</v>
      </c>
      <c r="L350">
        <f>Table1[[#This Row],[Delivery volume]]*0.05</f>
        <v>106.05000000000001</v>
      </c>
      <c r="M350" s="16">
        <f>Table1[[#This Row],[Delivery Cost]]/Table1[[#This Row],[Revenue]]</f>
        <v>4.1666666666666671E-2</v>
      </c>
      <c r="N350" t="str">
        <f t="shared" si="5"/>
        <v>Sep</v>
      </c>
    </row>
    <row r="351" spans="1:14" x14ac:dyDescent="0.2">
      <c r="A351" s="1">
        <v>45452</v>
      </c>
      <c r="B351" t="s">
        <v>31</v>
      </c>
      <c r="C351" t="s">
        <v>29</v>
      </c>
      <c r="D351" t="s">
        <v>12</v>
      </c>
      <c r="E351">
        <v>2972</v>
      </c>
      <c r="F351">
        <v>1.25</v>
      </c>
      <c r="G351">
        <v>1.05</v>
      </c>
      <c r="H351">
        <v>3715</v>
      </c>
      <c r="I351">
        <v>3120.6</v>
      </c>
      <c r="J351">
        <v>594.4</v>
      </c>
      <c r="K351">
        <f>Table1[[#This Row],[Liters_Sold]]</f>
        <v>2972</v>
      </c>
      <c r="L351">
        <f>Table1[[#This Row],[Delivery volume]]*0.05</f>
        <v>148.6</v>
      </c>
      <c r="M351" s="16">
        <f>Table1[[#This Row],[Delivery Cost]]/Table1[[#This Row],[Revenue]]</f>
        <v>0.04</v>
      </c>
      <c r="N351" t="str">
        <f t="shared" si="5"/>
        <v>Jun</v>
      </c>
    </row>
    <row r="352" spans="1:14" x14ac:dyDescent="0.2">
      <c r="A352" s="1">
        <v>45547</v>
      </c>
      <c r="B352" t="s">
        <v>28</v>
      </c>
      <c r="C352" t="s">
        <v>29</v>
      </c>
      <c r="D352" t="s">
        <v>12</v>
      </c>
      <c r="E352">
        <v>3046</v>
      </c>
      <c r="F352">
        <v>1.25</v>
      </c>
      <c r="G352">
        <v>1.05</v>
      </c>
      <c r="H352">
        <v>3807.5</v>
      </c>
      <c r="I352">
        <v>3198.3</v>
      </c>
      <c r="J352">
        <v>609.19999999999902</v>
      </c>
      <c r="K352">
        <f>Table1[[#This Row],[Liters_Sold]]</f>
        <v>3046</v>
      </c>
      <c r="L352">
        <f>Table1[[#This Row],[Delivery volume]]*0.05</f>
        <v>152.30000000000001</v>
      </c>
      <c r="M352" s="16">
        <f>Table1[[#This Row],[Delivery Cost]]/Table1[[#This Row],[Revenue]]</f>
        <v>0.04</v>
      </c>
      <c r="N352" t="str">
        <f t="shared" si="5"/>
        <v>Sep</v>
      </c>
    </row>
    <row r="353" spans="1:14" x14ac:dyDescent="0.2">
      <c r="A353" s="1">
        <v>45614</v>
      </c>
      <c r="B353" t="s">
        <v>19</v>
      </c>
      <c r="C353" t="s">
        <v>20</v>
      </c>
      <c r="D353" t="s">
        <v>18</v>
      </c>
      <c r="E353">
        <v>1887</v>
      </c>
      <c r="F353">
        <v>1.2</v>
      </c>
      <c r="G353">
        <v>1</v>
      </c>
      <c r="H353">
        <v>2264.4</v>
      </c>
      <c r="I353">
        <v>1887</v>
      </c>
      <c r="J353">
        <v>377.4</v>
      </c>
      <c r="K353">
        <f>Table1[[#This Row],[Liters_Sold]]</f>
        <v>1887</v>
      </c>
      <c r="L353">
        <f>Table1[[#This Row],[Delivery volume]]*0.05</f>
        <v>94.350000000000009</v>
      </c>
      <c r="M353" s="16">
        <f>Table1[[#This Row],[Delivery Cost]]/Table1[[#This Row],[Revenue]]</f>
        <v>4.1666666666666671E-2</v>
      </c>
      <c r="N353" t="str">
        <f t="shared" si="5"/>
        <v>Nov</v>
      </c>
    </row>
    <row r="354" spans="1:14" x14ac:dyDescent="0.2">
      <c r="A354" s="1">
        <v>45419</v>
      </c>
      <c r="B354" t="s">
        <v>25</v>
      </c>
      <c r="C354" t="s">
        <v>11</v>
      </c>
      <c r="D354" t="s">
        <v>12</v>
      </c>
      <c r="E354">
        <v>3494</v>
      </c>
      <c r="F354">
        <v>1.25</v>
      </c>
      <c r="G354">
        <v>1.05</v>
      </c>
      <c r="H354">
        <v>4367.5</v>
      </c>
      <c r="I354">
        <v>3668.7</v>
      </c>
      <c r="J354">
        <v>698.79999999999905</v>
      </c>
      <c r="K354">
        <f>Table1[[#This Row],[Liters_Sold]]</f>
        <v>3494</v>
      </c>
      <c r="L354">
        <f>Table1[[#This Row],[Delivery volume]]*0.05</f>
        <v>174.70000000000002</v>
      </c>
      <c r="M354" s="16">
        <f>Table1[[#This Row],[Delivery Cost]]/Table1[[#This Row],[Revenue]]</f>
        <v>0.04</v>
      </c>
      <c r="N354" t="str">
        <f t="shared" si="5"/>
        <v>May</v>
      </c>
    </row>
    <row r="355" spans="1:14" x14ac:dyDescent="0.2">
      <c r="A355" s="1">
        <v>45309</v>
      </c>
      <c r="B355" t="s">
        <v>28</v>
      </c>
      <c r="C355" t="s">
        <v>11</v>
      </c>
      <c r="D355" t="s">
        <v>18</v>
      </c>
      <c r="E355">
        <v>4316</v>
      </c>
      <c r="F355">
        <v>1.2</v>
      </c>
      <c r="G355">
        <v>1</v>
      </c>
      <c r="H355">
        <v>5179.2</v>
      </c>
      <c r="I355">
        <v>4316</v>
      </c>
      <c r="J355">
        <v>863.19999999999902</v>
      </c>
      <c r="K355">
        <f>Table1[[#This Row],[Liters_Sold]]</f>
        <v>4316</v>
      </c>
      <c r="L355">
        <f>Table1[[#This Row],[Delivery volume]]*0.05</f>
        <v>215.8</v>
      </c>
      <c r="M355" s="16">
        <f>Table1[[#This Row],[Delivery Cost]]/Table1[[#This Row],[Revenue]]</f>
        <v>4.1666666666666671E-2</v>
      </c>
      <c r="N355" t="str">
        <f t="shared" si="5"/>
        <v>Jan</v>
      </c>
    </row>
    <row r="356" spans="1:14" x14ac:dyDescent="0.2">
      <c r="A356" s="1">
        <v>45572</v>
      </c>
      <c r="B356" t="s">
        <v>16</v>
      </c>
      <c r="C356" t="s">
        <v>29</v>
      </c>
      <c r="D356" t="s">
        <v>18</v>
      </c>
      <c r="E356">
        <v>5818</v>
      </c>
      <c r="F356">
        <v>1.2</v>
      </c>
      <c r="G356">
        <v>1</v>
      </c>
      <c r="H356">
        <v>6981.5999999999904</v>
      </c>
      <c r="I356">
        <v>5818</v>
      </c>
      <c r="J356">
        <v>1163.5999999999899</v>
      </c>
      <c r="K356">
        <f>Table1[[#This Row],[Liters_Sold]]</f>
        <v>5818</v>
      </c>
      <c r="L356">
        <f>Table1[[#This Row],[Delivery volume]]*0.05</f>
        <v>290.90000000000003</v>
      </c>
      <c r="M356" s="16">
        <f>Table1[[#This Row],[Delivery Cost]]/Table1[[#This Row],[Revenue]]</f>
        <v>4.1666666666666727E-2</v>
      </c>
      <c r="N356" t="str">
        <f t="shared" si="5"/>
        <v>Oct</v>
      </c>
    </row>
    <row r="357" spans="1:14" x14ac:dyDescent="0.2">
      <c r="A357" s="1">
        <v>45514</v>
      </c>
      <c r="B357" t="s">
        <v>10</v>
      </c>
      <c r="C357" t="s">
        <v>23</v>
      </c>
      <c r="D357" t="s">
        <v>18</v>
      </c>
      <c r="E357">
        <v>1217</v>
      </c>
      <c r="F357">
        <v>1.2</v>
      </c>
      <c r="G357">
        <v>1</v>
      </c>
      <c r="H357">
        <v>1460.3999999999901</v>
      </c>
      <c r="I357">
        <v>1217</v>
      </c>
      <c r="J357">
        <v>243.39999999999901</v>
      </c>
      <c r="K357">
        <f>Table1[[#This Row],[Liters_Sold]]</f>
        <v>1217</v>
      </c>
      <c r="L357">
        <f>Table1[[#This Row],[Delivery volume]]*0.05</f>
        <v>60.85</v>
      </c>
      <c r="M357" s="16">
        <f>Table1[[#This Row],[Delivery Cost]]/Table1[[#This Row],[Revenue]]</f>
        <v>4.1666666666666949E-2</v>
      </c>
      <c r="N357" t="str">
        <f t="shared" si="5"/>
        <v>Aug</v>
      </c>
    </row>
    <row r="358" spans="1:14" x14ac:dyDescent="0.2">
      <c r="A358" s="1">
        <v>45345</v>
      </c>
      <c r="B358" t="s">
        <v>15</v>
      </c>
      <c r="C358" t="s">
        <v>20</v>
      </c>
      <c r="D358" t="s">
        <v>18</v>
      </c>
      <c r="E358">
        <v>3984</v>
      </c>
      <c r="F358">
        <v>1.2</v>
      </c>
      <c r="G358">
        <v>1</v>
      </c>
      <c r="H358">
        <v>4780.8</v>
      </c>
      <c r="I358">
        <v>3984</v>
      </c>
      <c r="J358">
        <v>796.8</v>
      </c>
      <c r="K358">
        <f>Table1[[#This Row],[Liters_Sold]]</f>
        <v>3984</v>
      </c>
      <c r="L358">
        <f>Table1[[#This Row],[Delivery volume]]*0.05</f>
        <v>199.20000000000002</v>
      </c>
      <c r="M358" s="16">
        <f>Table1[[#This Row],[Delivery Cost]]/Table1[[#This Row],[Revenue]]</f>
        <v>4.1666666666666671E-2</v>
      </c>
      <c r="N358" t="str">
        <f t="shared" si="5"/>
        <v>Feb</v>
      </c>
    </row>
    <row r="359" spans="1:14" x14ac:dyDescent="0.2">
      <c r="A359" s="1">
        <v>45349</v>
      </c>
      <c r="B359" t="s">
        <v>25</v>
      </c>
      <c r="C359" t="s">
        <v>11</v>
      </c>
      <c r="D359" t="s">
        <v>12</v>
      </c>
      <c r="E359">
        <v>4934</v>
      </c>
      <c r="F359">
        <v>1.25</v>
      </c>
      <c r="G359">
        <v>1.05</v>
      </c>
      <c r="H359">
        <v>6167.5</v>
      </c>
      <c r="I359">
        <v>5180.7</v>
      </c>
      <c r="J359">
        <v>986.8</v>
      </c>
      <c r="K359">
        <f>Table1[[#This Row],[Liters_Sold]]</f>
        <v>4934</v>
      </c>
      <c r="L359">
        <f>Table1[[#This Row],[Delivery volume]]*0.05</f>
        <v>246.70000000000002</v>
      </c>
      <c r="M359" s="16">
        <f>Table1[[#This Row],[Delivery Cost]]/Table1[[#This Row],[Revenue]]</f>
        <v>0.04</v>
      </c>
      <c r="N359" t="str">
        <f t="shared" si="5"/>
        <v>Feb</v>
      </c>
    </row>
    <row r="360" spans="1:14" x14ac:dyDescent="0.2">
      <c r="A360" s="1">
        <v>45614</v>
      </c>
      <c r="B360" t="s">
        <v>22</v>
      </c>
      <c r="C360" t="s">
        <v>29</v>
      </c>
      <c r="D360" t="s">
        <v>18</v>
      </c>
      <c r="E360">
        <v>1158</v>
      </c>
      <c r="F360">
        <v>1.2</v>
      </c>
      <c r="G360">
        <v>1</v>
      </c>
      <c r="H360">
        <v>1389.6</v>
      </c>
      <c r="I360">
        <v>1158</v>
      </c>
      <c r="J360">
        <v>231.599999999999</v>
      </c>
      <c r="K360">
        <f>Table1[[#This Row],[Liters_Sold]]</f>
        <v>1158</v>
      </c>
      <c r="L360">
        <f>Table1[[#This Row],[Delivery volume]]*0.05</f>
        <v>57.900000000000006</v>
      </c>
      <c r="M360" s="16">
        <f>Table1[[#This Row],[Delivery Cost]]/Table1[[#This Row],[Revenue]]</f>
        <v>4.1666666666666671E-2</v>
      </c>
      <c r="N360" t="str">
        <f t="shared" si="5"/>
        <v>Nov</v>
      </c>
    </row>
    <row r="361" spans="1:14" x14ac:dyDescent="0.2">
      <c r="A361" s="1">
        <v>45651</v>
      </c>
      <c r="B361" t="s">
        <v>31</v>
      </c>
      <c r="C361" t="s">
        <v>11</v>
      </c>
      <c r="D361" t="s">
        <v>12</v>
      </c>
      <c r="E361">
        <v>5557</v>
      </c>
      <c r="F361">
        <v>1.25</v>
      </c>
      <c r="G361">
        <v>1.05</v>
      </c>
      <c r="H361">
        <v>6946.25</v>
      </c>
      <c r="I361">
        <v>5834.85</v>
      </c>
      <c r="J361">
        <v>1111.3999999999901</v>
      </c>
      <c r="K361">
        <f>Table1[[#This Row],[Liters_Sold]]</f>
        <v>5557</v>
      </c>
      <c r="L361">
        <f>Table1[[#This Row],[Delivery volume]]*0.05</f>
        <v>277.85000000000002</v>
      </c>
      <c r="M361" s="16">
        <f>Table1[[#This Row],[Delivery Cost]]/Table1[[#This Row],[Revenue]]</f>
        <v>0.04</v>
      </c>
      <c r="N361" t="str">
        <f t="shared" si="5"/>
        <v>Dec</v>
      </c>
    </row>
    <row r="362" spans="1:14" x14ac:dyDescent="0.2">
      <c r="A362" s="1">
        <v>45465</v>
      </c>
      <c r="B362" t="s">
        <v>10</v>
      </c>
      <c r="C362" t="s">
        <v>20</v>
      </c>
      <c r="D362" t="s">
        <v>12</v>
      </c>
      <c r="E362">
        <v>4508</v>
      </c>
      <c r="F362">
        <v>1.25</v>
      </c>
      <c r="G362">
        <v>1.05</v>
      </c>
      <c r="H362">
        <v>5635</v>
      </c>
      <c r="I362">
        <v>4733.3999999999996</v>
      </c>
      <c r="J362">
        <v>901.599999999999</v>
      </c>
      <c r="K362">
        <f>Table1[[#This Row],[Liters_Sold]]</f>
        <v>4508</v>
      </c>
      <c r="L362">
        <f>Table1[[#This Row],[Delivery volume]]*0.05</f>
        <v>225.4</v>
      </c>
      <c r="M362" s="16">
        <f>Table1[[#This Row],[Delivery Cost]]/Table1[[#This Row],[Revenue]]</f>
        <v>0.04</v>
      </c>
      <c r="N362" t="str">
        <f t="shared" si="5"/>
        <v>Jun</v>
      </c>
    </row>
    <row r="363" spans="1:14" x14ac:dyDescent="0.2">
      <c r="A363" s="1">
        <v>45571</v>
      </c>
      <c r="B363" t="s">
        <v>27</v>
      </c>
      <c r="C363" t="s">
        <v>20</v>
      </c>
      <c r="D363" t="s">
        <v>18</v>
      </c>
      <c r="E363">
        <v>5024</v>
      </c>
      <c r="F363">
        <v>1.2</v>
      </c>
      <c r="G363">
        <v>1</v>
      </c>
      <c r="H363">
        <v>6028.8</v>
      </c>
      <c r="I363">
        <v>5024</v>
      </c>
      <c r="J363">
        <v>1004.8</v>
      </c>
      <c r="K363">
        <f>Table1[[#This Row],[Liters_Sold]]</f>
        <v>5024</v>
      </c>
      <c r="L363">
        <f>Table1[[#This Row],[Delivery volume]]*0.05</f>
        <v>251.20000000000002</v>
      </c>
      <c r="M363" s="16">
        <f>Table1[[#This Row],[Delivery Cost]]/Table1[[#This Row],[Revenue]]</f>
        <v>4.1666666666666671E-2</v>
      </c>
      <c r="N363" t="str">
        <f t="shared" si="5"/>
        <v>Oct</v>
      </c>
    </row>
    <row r="364" spans="1:14" x14ac:dyDescent="0.2">
      <c r="A364" s="1">
        <v>45405</v>
      </c>
      <c r="B364" t="s">
        <v>19</v>
      </c>
      <c r="C364" t="s">
        <v>17</v>
      </c>
      <c r="D364" t="s">
        <v>12</v>
      </c>
      <c r="E364">
        <v>5494</v>
      </c>
      <c r="F364">
        <v>1.25</v>
      </c>
      <c r="G364">
        <v>1.05</v>
      </c>
      <c r="H364">
        <v>6867.5</v>
      </c>
      <c r="I364">
        <v>5768.7</v>
      </c>
      <c r="J364">
        <v>1098.8</v>
      </c>
      <c r="K364">
        <f>Table1[[#This Row],[Liters_Sold]]</f>
        <v>5494</v>
      </c>
      <c r="L364">
        <f>Table1[[#This Row],[Delivery volume]]*0.05</f>
        <v>274.7</v>
      </c>
      <c r="M364" s="16">
        <f>Table1[[#This Row],[Delivery Cost]]/Table1[[#This Row],[Revenue]]</f>
        <v>0.04</v>
      </c>
      <c r="N364" t="str">
        <f t="shared" si="5"/>
        <v>Apr</v>
      </c>
    </row>
    <row r="365" spans="1:14" x14ac:dyDescent="0.2">
      <c r="A365" s="1">
        <v>45579</v>
      </c>
      <c r="B365" t="s">
        <v>19</v>
      </c>
      <c r="C365" t="s">
        <v>29</v>
      </c>
      <c r="D365" t="s">
        <v>18</v>
      </c>
      <c r="E365">
        <v>4734</v>
      </c>
      <c r="F365">
        <v>1.2</v>
      </c>
      <c r="G365">
        <v>1</v>
      </c>
      <c r="H365">
        <v>5680.8</v>
      </c>
      <c r="I365">
        <v>4734</v>
      </c>
      <c r="J365">
        <v>946.8</v>
      </c>
      <c r="K365">
        <f>Table1[[#This Row],[Liters_Sold]]</f>
        <v>4734</v>
      </c>
      <c r="L365">
        <f>Table1[[#This Row],[Delivery volume]]*0.05</f>
        <v>236.70000000000002</v>
      </c>
      <c r="M365" s="16">
        <f>Table1[[#This Row],[Delivery Cost]]/Table1[[#This Row],[Revenue]]</f>
        <v>4.1666666666666671E-2</v>
      </c>
      <c r="N365" t="str">
        <f t="shared" si="5"/>
        <v>Oct</v>
      </c>
    </row>
    <row r="366" spans="1:14" x14ac:dyDescent="0.2">
      <c r="A366" s="1">
        <v>45633</v>
      </c>
      <c r="B366" t="s">
        <v>21</v>
      </c>
      <c r="C366" t="s">
        <v>20</v>
      </c>
      <c r="D366" t="s">
        <v>18</v>
      </c>
      <c r="E366">
        <v>4264</v>
      </c>
      <c r="F366">
        <v>1.2</v>
      </c>
      <c r="G366">
        <v>1</v>
      </c>
      <c r="H366">
        <v>5116.8</v>
      </c>
      <c r="I366">
        <v>4264</v>
      </c>
      <c r="J366">
        <v>852.8</v>
      </c>
      <c r="K366">
        <f>Table1[[#This Row],[Liters_Sold]]</f>
        <v>4264</v>
      </c>
      <c r="L366">
        <f>Table1[[#This Row],[Delivery volume]]*0.05</f>
        <v>213.20000000000002</v>
      </c>
      <c r="M366" s="16">
        <f>Table1[[#This Row],[Delivery Cost]]/Table1[[#This Row],[Revenue]]</f>
        <v>4.1666666666666671E-2</v>
      </c>
      <c r="N366" t="str">
        <f t="shared" si="5"/>
        <v>Dec</v>
      </c>
    </row>
    <row r="367" spans="1:14" x14ac:dyDescent="0.2">
      <c r="A367" s="1">
        <v>45442</v>
      </c>
      <c r="B367" t="s">
        <v>30</v>
      </c>
      <c r="C367" t="s">
        <v>17</v>
      </c>
      <c r="D367" t="s">
        <v>14</v>
      </c>
      <c r="E367">
        <v>3489</v>
      </c>
      <c r="F367">
        <v>0.9</v>
      </c>
      <c r="G367">
        <v>0.7</v>
      </c>
      <c r="H367">
        <v>3140.1</v>
      </c>
      <c r="I367">
        <v>2442.2999999999902</v>
      </c>
      <c r="J367">
        <v>697.8</v>
      </c>
      <c r="K367">
        <f>Table1[[#This Row],[Liters_Sold]]</f>
        <v>3489</v>
      </c>
      <c r="L367">
        <f>Table1[[#This Row],[Delivery volume]]*0.05</f>
        <v>174.45000000000002</v>
      </c>
      <c r="M367" s="16">
        <f>Table1[[#This Row],[Delivery Cost]]/Table1[[#This Row],[Revenue]]</f>
        <v>5.5555555555555559E-2</v>
      </c>
      <c r="N367" t="str">
        <f t="shared" si="5"/>
        <v>May</v>
      </c>
    </row>
    <row r="368" spans="1:14" x14ac:dyDescent="0.2">
      <c r="A368" s="1">
        <v>45418</v>
      </c>
      <c r="B368" t="s">
        <v>10</v>
      </c>
      <c r="C368" t="s">
        <v>17</v>
      </c>
      <c r="D368" t="s">
        <v>14</v>
      </c>
      <c r="E368">
        <v>5137</v>
      </c>
      <c r="F368">
        <v>0.9</v>
      </c>
      <c r="G368">
        <v>0.7</v>
      </c>
      <c r="H368">
        <v>4623.3</v>
      </c>
      <c r="I368">
        <v>3595.8999999999901</v>
      </c>
      <c r="J368">
        <v>1027.4000000000001</v>
      </c>
      <c r="K368">
        <f>Table1[[#This Row],[Liters_Sold]]</f>
        <v>5137</v>
      </c>
      <c r="L368">
        <f>Table1[[#This Row],[Delivery volume]]*0.05</f>
        <v>256.85000000000002</v>
      </c>
      <c r="M368" s="16">
        <f>Table1[[#This Row],[Delivery Cost]]/Table1[[#This Row],[Revenue]]</f>
        <v>5.5555555555555559E-2</v>
      </c>
      <c r="N368" t="str">
        <f t="shared" si="5"/>
        <v>May</v>
      </c>
    </row>
    <row r="369" spans="1:14" x14ac:dyDescent="0.2">
      <c r="A369" s="1">
        <v>45446</v>
      </c>
      <c r="B369" t="s">
        <v>25</v>
      </c>
      <c r="C369" t="s">
        <v>11</v>
      </c>
      <c r="D369" t="s">
        <v>12</v>
      </c>
      <c r="E369">
        <v>2604</v>
      </c>
      <c r="F369">
        <v>1.25</v>
      </c>
      <c r="G369">
        <v>1.05</v>
      </c>
      <c r="H369">
        <v>3255</v>
      </c>
      <c r="I369">
        <v>2734.2</v>
      </c>
      <c r="J369">
        <v>520.79999999999905</v>
      </c>
      <c r="K369">
        <f>Table1[[#This Row],[Liters_Sold]]</f>
        <v>2604</v>
      </c>
      <c r="L369">
        <f>Table1[[#This Row],[Delivery volume]]*0.05</f>
        <v>130.20000000000002</v>
      </c>
      <c r="M369" s="16">
        <f>Table1[[#This Row],[Delivery Cost]]/Table1[[#This Row],[Revenue]]</f>
        <v>4.0000000000000008E-2</v>
      </c>
      <c r="N369" t="str">
        <f t="shared" si="5"/>
        <v>Jun</v>
      </c>
    </row>
    <row r="370" spans="1:14" x14ac:dyDescent="0.2">
      <c r="A370" s="1">
        <v>45564</v>
      </c>
      <c r="B370" t="s">
        <v>24</v>
      </c>
      <c r="C370" t="s">
        <v>11</v>
      </c>
      <c r="D370" t="s">
        <v>12</v>
      </c>
      <c r="E370">
        <v>1755</v>
      </c>
      <c r="F370">
        <v>1.25</v>
      </c>
      <c r="G370">
        <v>1.05</v>
      </c>
      <c r="H370">
        <v>2193.75</v>
      </c>
      <c r="I370">
        <v>1842.75</v>
      </c>
      <c r="J370">
        <v>351</v>
      </c>
      <c r="K370">
        <f>Table1[[#This Row],[Liters_Sold]]</f>
        <v>1755</v>
      </c>
      <c r="L370">
        <f>Table1[[#This Row],[Delivery volume]]*0.05</f>
        <v>87.75</v>
      </c>
      <c r="M370" s="16">
        <f>Table1[[#This Row],[Delivery Cost]]/Table1[[#This Row],[Revenue]]</f>
        <v>0.04</v>
      </c>
      <c r="N370" t="str">
        <f t="shared" si="5"/>
        <v>Sep</v>
      </c>
    </row>
    <row r="371" spans="1:14" x14ac:dyDescent="0.2">
      <c r="A371" s="1">
        <v>45395</v>
      </c>
      <c r="B371" t="s">
        <v>19</v>
      </c>
      <c r="C371" t="s">
        <v>17</v>
      </c>
      <c r="D371" t="s">
        <v>18</v>
      </c>
      <c r="E371">
        <v>2982</v>
      </c>
      <c r="F371">
        <v>1.2</v>
      </c>
      <c r="G371">
        <v>1</v>
      </c>
      <c r="H371">
        <v>3578.4</v>
      </c>
      <c r="I371">
        <v>2982</v>
      </c>
      <c r="J371">
        <v>596.4</v>
      </c>
      <c r="K371">
        <f>Table1[[#This Row],[Liters_Sold]]</f>
        <v>2982</v>
      </c>
      <c r="L371">
        <f>Table1[[#This Row],[Delivery volume]]*0.05</f>
        <v>149.1</v>
      </c>
      <c r="M371" s="16">
        <f>Table1[[#This Row],[Delivery Cost]]/Table1[[#This Row],[Revenue]]</f>
        <v>4.1666666666666664E-2</v>
      </c>
      <c r="N371" t="str">
        <f t="shared" si="5"/>
        <v>Apr</v>
      </c>
    </row>
    <row r="372" spans="1:14" x14ac:dyDescent="0.2">
      <c r="A372" s="1">
        <v>45590</v>
      </c>
      <c r="B372" t="s">
        <v>25</v>
      </c>
      <c r="C372" t="s">
        <v>11</v>
      </c>
      <c r="D372" t="s">
        <v>12</v>
      </c>
      <c r="E372">
        <v>883</v>
      </c>
      <c r="F372">
        <v>1.25</v>
      </c>
      <c r="G372">
        <v>1.05</v>
      </c>
      <c r="H372">
        <v>1103.75</v>
      </c>
      <c r="I372">
        <v>927.15</v>
      </c>
      <c r="J372">
        <v>176.599999999999</v>
      </c>
      <c r="K372">
        <f>Table1[[#This Row],[Liters_Sold]]</f>
        <v>883</v>
      </c>
      <c r="L372">
        <f>Table1[[#This Row],[Delivery volume]]*0.05</f>
        <v>44.150000000000006</v>
      </c>
      <c r="M372" s="16">
        <f>Table1[[#This Row],[Delivery Cost]]/Table1[[#This Row],[Revenue]]</f>
        <v>4.0000000000000008E-2</v>
      </c>
      <c r="N372" t="str">
        <f t="shared" si="5"/>
        <v>Oct</v>
      </c>
    </row>
    <row r="373" spans="1:14" x14ac:dyDescent="0.2">
      <c r="A373" s="1">
        <v>45537</v>
      </c>
      <c r="B373" t="s">
        <v>32</v>
      </c>
      <c r="C373" t="s">
        <v>20</v>
      </c>
      <c r="D373" t="s">
        <v>18</v>
      </c>
      <c r="E373">
        <v>3107</v>
      </c>
      <c r="F373">
        <v>1.2</v>
      </c>
      <c r="G373">
        <v>1</v>
      </c>
      <c r="H373">
        <v>3728.3999999999901</v>
      </c>
      <c r="I373">
        <v>3107</v>
      </c>
      <c r="J373">
        <v>621.39999999999895</v>
      </c>
      <c r="K373">
        <f>Table1[[#This Row],[Liters_Sold]]</f>
        <v>3107</v>
      </c>
      <c r="L373">
        <f>Table1[[#This Row],[Delivery volume]]*0.05</f>
        <v>155.35000000000002</v>
      </c>
      <c r="M373" s="16">
        <f>Table1[[#This Row],[Delivery Cost]]/Table1[[#This Row],[Revenue]]</f>
        <v>4.1666666666666782E-2</v>
      </c>
      <c r="N373" t="str">
        <f t="shared" si="5"/>
        <v>Sep</v>
      </c>
    </row>
    <row r="374" spans="1:14" x14ac:dyDescent="0.2">
      <c r="A374" s="1">
        <v>45467</v>
      </c>
      <c r="B374" t="s">
        <v>25</v>
      </c>
      <c r="C374" t="s">
        <v>23</v>
      </c>
      <c r="D374" t="s">
        <v>18</v>
      </c>
      <c r="E374">
        <v>693</v>
      </c>
      <c r="F374">
        <v>1.2</v>
      </c>
      <c r="G374">
        <v>1</v>
      </c>
      <c r="H374">
        <v>831.6</v>
      </c>
      <c r="I374">
        <v>693</v>
      </c>
      <c r="J374">
        <v>138.6</v>
      </c>
      <c r="K374">
        <f>Table1[[#This Row],[Liters_Sold]]</f>
        <v>693</v>
      </c>
      <c r="L374">
        <f>Table1[[#This Row],[Delivery volume]]*0.05</f>
        <v>34.65</v>
      </c>
      <c r="M374" s="16">
        <f>Table1[[#This Row],[Delivery Cost]]/Table1[[#This Row],[Revenue]]</f>
        <v>4.1666666666666664E-2</v>
      </c>
      <c r="N374" t="str">
        <f t="shared" si="5"/>
        <v>Jun</v>
      </c>
    </row>
    <row r="375" spans="1:14" x14ac:dyDescent="0.2">
      <c r="A375" s="1">
        <v>45330</v>
      </c>
      <c r="B375" t="s">
        <v>32</v>
      </c>
      <c r="C375" t="s">
        <v>20</v>
      </c>
      <c r="D375" t="s">
        <v>18</v>
      </c>
      <c r="E375">
        <v>4307</v>
      </c>
      <c r="F375">
        <v>1.2</v>
      </c>
      <c r="G375">
        <v>1</v>
      </c>
      <c r="H375">
        <v>5168.3999999999996</v>
      </c>
      <c r="I375">
        <v>4307</v>
      </c>
      <c r="J375">
        <v>861.39999999999895</v>
      </c>
      <c r="K375">
        <f>Table1[[#This Row],[Liters_Sold]]</f>
        <v>4307</v>
      </c>
      <c r="L375">
        <f>Table1[[#This Row],[Delivery volume]]*0.05</f>
        <v>215.35000000000002</v>
      </c>
      <c r="M375" s="16">
        <f>Table1[[#This Row],[Delivery Cost]]/Table1[[#This Row],[Revenue]]</f>
        <v>4.1666666666666671E-2</v>
      </c>
      <c r="N375" t="str">
        <f t="shared" si="5"/>
        <v>Feb</v>
      </c>
    </row>
    <row r="376" spans="1:14" x14ac:dyDescent="0.2">
      <c r="A376" s="1">
        <v>45461</v>
      </c>
      <c r="B376" t="s">
        <v>16</v>
      </c>
      <c r="C376" t="s">
        <v>17</v>
      </c>
      <c r="D376" t="s">
        <v>12</v>
      </c>
      <c r="E376">
        <v>4219</v>
      </c>
      <c r="F376">
        <v>1.25</v>
      </c>
      <c r="G376">
        <v>1.05</v>
      </c>
      <c r="H376">
        <v>5273.75</v>
      </c>
      <c r="I376">
        <v>4429.95</v>
      </c>
      <c r="J376">
        <v>843.8</v>
      </c>
      <c r="K376">
        <f>Table1[[#This Row],[Liters_Sold]]</f>
        <v>4219</v>
      </c>
      <c r="L376">
        <f>Table1[[#This Row],[Delivery volume]]*0.05</f>
        <v>210.95000000000002</v>
      </c>
      <c r="M376" s="16">
        <f>Table1[[#This Row],[Delivery Cost]]/Table1[[#This Row],[Revenue]]</f>
        <v>0.04</v>
      </c>
      <c r="N376" t="str">
        <f t="shared" si="5"/>
        <v>Jun</v>
      </c>
    </row>
    <row r="377" spans="1:14" x14ac:dyDescent="0.2">
      <c r="A377" s="1">
        <v>45538</v>
      </c>
      <c r="B377" t="s">
        <v>13</v>
      </c>
      <c r="C377" t="s">
        <v>17</v>
      </c>
      <c r="D377" t="s">
        <v>12</v>
      </c>
      <c r="E377">
        <v>3081</v>
      </c>
      <c r="F377">
        <v>1.25</v>
      </c>
      <c r="G377">
        <v>1.05</v>
      </c>
      <c r="H377">
        <v>3851.25</v>
      </c>
      <c r="I377">
        <v>3235.05</v>
      </c>
      <c r="J377">
        <v>616.19999999999902</v>
      </c>
      <c r="K377">
        <f>Table1[[#This Row],[Liters_Sold]]</f>
        <v>3081</v>
      </c>
      <c r="L377">
        <f>Table1[[#This Row],[Delivery volume]]*0.05</f>
        <v>154.05000000000001</v>
      </c>
      <c r="M377" s="16">
        <f>Table1[[#This Row],[Delivery Cost]]/Table1[[#This Row],[Revenue]]</f>
        <v>0.04</v>
      </c>
      <c r="N377" t="str">
        <f t="shared" si="5"/>
        <v>Sep</v>
      </c>
    </row>
    <row r="378" spans="1:14" x14ac:dyDescent="0.2">
      <c r="A378" s="1">
        <v>45317</v>
      </c>
      <c r="B378" t="s">
        <v>13</v>
      </c>
      <c r="C378" t="s">
        <v>20</v>
      </c>
      <c r="D378" t="s">
        <v>12</v>
      </c>
      <c r="E378">
        <v>3065</v>
      </c>
      <c r="F378">
        <v>1.25</v>
      </c>
      <c r="G378">
        <v>1.05</v>
      </c>
      <c r="H378">
        <v>3831.25</v>
      </c>
      <c r="I378">
        <v>3218.25</v>
      </c>
      <c r="J378">
        <v>613</v>
      </c>
      <c r="K378">
        <f>Table1[[#This Row],[Liters_Sold]]</f>
        <v>3065</v>
      </c>
      <c r="L378">
        <f>Table1[[#This Row],[Delivery volume]]*0.05</f>
        <v>153.25</v>
      </c>
      <c r="M378" s="16">
        <f>Table1[[#This Row],[Delivery Cost]]/Table1[[#This Row],[Revenue]]</f>
        <v>0.04</v>
      </c>
      <c r="N378" t="str">
        <f t="shared" si="5"/>
        <v>Jan</v>
      </c>
    </row>
    <row r="379" spans="1:14" x14ac:dyDescent="0.2">
      <c r="A379" s="1">
        <v>45646</v>
      </c>
      <c r="B379" t="s">
        <v>27</v>
      </c>
      <c r="C379" t="s">
        <v>11</v>
      </c>
      <c r="D379" t="s">
        <v>12</v>
      </c>
      <c r="E379">
        <v>3263</v>
      </c>
      <c r="F379">
        <v>1.25</v>
      </c>
      <c r="G379">
        <v>1.05</v>
      </c>
      <c r="H379">
        <v>4078.75</v>
      </c>
      <c r="I379">
        <v>3426.15</v>
      </c>
      <c r="J379">
        <v>652.599999999999</v>
      </c>
      <c r="K379">
        <f>Table1[[#This Row],[Liters_Sold]]</f>
        <v>3263</v>
      </c>
      <c r="L379">
        <f>Table1[[#This Row],[Delivery volume]]*0.05</f>
        <v>163.15</v>
      </c>
      <c r="M379" s="16">
        <f>Table1[[#This Row],[Delivery Cost]]/Table1[[#This Row],[Revenue]]</f>
        <v>0.04</v>
      </c>
      <c r="N379" t="str">
        <f t="shared" si="5"/>
        <v>Dec</v>
      </c>
    </row>
    <row r="380" spans="1:14" x14ac:dyDescent="0.2">
      <c r="A380" s="1">
        <v>45597</v>
      </c>
      <c r="B380" t="s">
        <v>22</v>
      </c>
      <c r="C380" t="s">
        <v>11</v>
      </c>
      <c r="D380" t="s">
        <v>14</v>
      </c>
      <c r="E380">
        <v>3298</v>
      </c>
      <c r="F380">
        <v>0.9</v>
      </c>
      <c r="G380">
        <v>0.7</v>
      </c>
      <c r="H380">
        <v>2968.2</v>
      </c>
      <c r="I380">
        <v>2308.6</v>
      </c>
      <c r="J380">
        <v>659.6</v>
      </c>
      <c r="K380">
        <f>Table1[[#This Row],[Liters_Sold]]</f>
        <v>3298</v>
      </c>
      <c r="L380">
        <f>Table1[[#This Row],[Delivery volume]]*0.05</f>
        <v>164.9</v>
      </c>
      <c r="M380" s="16">
        <f>Table1[[#This Row],[Delivery Cost]]/Table1[[#This Row],[Revenue]]</f>
        <v>5.5555555555555559E-2</v>
      </c>
      <c r="N380" t="str">
        <f t="shared" si="5"/>
        <v>Nov</v>
      </c>
    </row>
    <row r="381" spans="1:14" x14ac:dyDescent="0.2">
      <c r="A381" s="1">
        <v>45304</v>
      </c>
      <c r="B381" t="s">
        <v>27</v>
      </c>
      <c r="C381" t="s">
        <v>17</v>
      </c>
      <c r="D381" t="s">
        <v>12</v>
      </c>
      <c r="E381">
        <v>2839</v>
      </c>
      <c r="F381">
        <v>1.25</v>
      </c>
      <c r="G381">
        <v>1.05</v>
      </c>
      <c r="H381">
        <v>3548.75</v>
      </c>
      <c r="I381">
        <v>2980.95</v>
      </c>
      <c r="J381">
        <v>567.79999999999905</v>
      </c>
      <c r="K381">
        <f>Table1[[#This Row],[Liters_Sold]]</f>
        <v>2839</v>
      </c>
      <c r="L381">
        <f>Table1[[#This Row],[Delivery volume]]*0.05</f>
        <v>141.95000000000002</v>
      </c>
      <c r="M381" s="16">
        <f>Table1[[#This Row],[Delivery Cost]]/Table1[[#This Row],[Revenue]]</f>
        <v>4.0000000000000008E-2</v>
      </c>
      <c r="N381" t="str">
        <f t="shared" si="5"/>
        <v>Jan</v>
      </c>
    </row>
    <row r="382" spans="1:14" x14ac:dyDescent="0.2">
      <c r="A382" s="1">
        <v>45607</v>
      </c>
      <c r="B382" t="s">
        <v>32</v>
      </c>
      <c r="C382" t="s">
        <v>29</v>
      </c>
      <c r="D382" t="s">
        <v>12</v>
      </c>
      <c r="E382">
        <v>3906</v>
      </c>
      <c r="F382">
        <v>1.25</v>
      </c>
      <c r="G382">
        <v>1.05</v>
      </c>
      <c r="H382">
        <v>4882.5</v>
      </c>
      <c r="I382">
        <v>4101.3</v>
      </c>
      <c r="J382">
        <v>781.19999999999902</v>
      </c>
      <c r="K382">
        <f>Table1[[#This Row],[Liters_Sold]]</f>
        <v>3906</v>
      </c>
      <c r="L382">
        <f>Table1[[#This Row],[Delivery volume]]*0.05</f>
        <v>195.3</v>
      </c>
      <c r="M382" s="16">
        <f>Table1[[#This Row],[Delivery Cost]]/Table1[[#This Row],[Revenue]]</f>
        <v>0.04</v>
      </c>
      <c r="N382" t="str">
        <f t="shared" si="5"/>
        <v>Nov</v>
      </c>
    </row>
    <row r="383" spans="1:14" x14ac:dyDescent="0.2">
      <c r="A383" s="1">
        <v>45604</v>
      </c>
      <c r="B383" t="s">
        <v>10</v>
      </c>
      <c r="C383" t="s">
        <v>11</v>
      </c>
      <c r="D383" t="s">
        <v>12</v>
      </c>
      <c r="E383">
        <v>1231</v>
      </c>
      <c r="F383">
        <v>1.25</v>
      </c>
      <c r="G383">
        <v>1.05</v>
      </c>
      <c r="H383">
        <v>1538.75</v>
      </c>
      <c r="I383">
        <v>1292.55</v>
      </c>
      <c r="J383">
        <v>246.2</v>
      </c>
      <c r="K383">
        <f>Table1[[#This Row],[Liters_Sold]]</f>
        <v>1231</v>
      </c>
      <c r="L383">
        <f>Table1[[#This Row],[Delivery volume]]*0.05</f>
        <v>61.550000000000004</v>
      </c>
      <c r="M383" s="16">
        <f>Table1[[#This Row],[Delivery Cost]]/Table1[[#This Row],[Revenue]]</f>
        <v>0.04</v>
      </c>
      <c r="N383" t="str">
        <f t="shared" si="5"/>
        <v>Nov</v>
      </c>
    </row>
    <row r="384" spans="1:14" x14ac:dyDescent="0.2">
      <c r="A384" s="1">
        <v>45327</v>
      </c>
      <c r="B384" t="s">
        <v>28</v>
      </c>
      <c r="C384" t="s">
        <v>20</v>
      </c>
      <c r="D384" t="s">
        <v>18</v>
      </c>
      <c r="E384">
        <v>3372</v>
      </c>
      <c r="F384">
        <v>1.2</v>
      </c>
      <c r="G384">
        <v>1</v>
      </c>
      <c r="H384">
        <v>4046.3999999999901</v>
      </c>
      <c r="I384">
        <v>3372</v>
      </c>
      <c r="J384">
        <v>674.39999999999895</v>
      </c>
      <c r="K384">
        <f>Table1[[#This Row],[Liters_Sold]]</f>
        <v>3372</v>
      </c>
      <c r="L384">
        <f>Table1[[#This Row],[Delivery volume]]*0.05</f>
        <v>168.60000000000002</v>
      </c>
      <c r="M384" s="16">
        <f>Table1[[#This Row],[Delivery Cost]]/Table1[[#This Row],[Revenue]]</f>
        <v>4.1666666666666775E-2</v>
      </c>
      <c r="N384" t="str">
        <f t="shared" si="5"/>
        <v>Feb</v>
      </c>
    </row>
    <row r="385" spans="1:14" x14ac:dyDescent="0.2">
      <c r="A385" s="1">
        <v>45464</v>
      </c>
      <c r="B385" t="s">
        <v>24</v>
      </c>
      <c r="C385" t="s">
        <v>11</v>
      </c>
      <c r="D385" t="s">
        <v>18</v>
      </c>
      <c r="E385">
        <v>3620</v>
      </c>
      <c r="F385">
        <v>1.2</v>
      </c>
      <c r="G385">
        <v>1</v>
      </c>
      <c r="H385">
        <v>4344</v>
      </c>
      <c r="I385">
        <v>3620</v>
      </c>
      <c r="J385">
        <v>724</v>
      </c>
      <c r="K385">
        <f>Table1[[#This Row],[Liters_Sold]]</f>
        <v>3620</v>
      </c>
      <c r="L385">
        <f>Table1[[#This Row],[Delivery volume]]*0.05</f>
        <v>181</v>
      </c>
      <c r="M385" s="16">
        <f>Table1[[#This Row],[Delivery Cost]]/Table1[[#This Row],[Revenue]]</f>
        <v>4.1666666666666664E-2</v>
      </c>
      <c r="N385" t="str">
        <f t="shared" si="5"/>
        <v>Jun</v>
      </c>
    </row>
    <row r="386" spans="1:14" x14ac:dyDescent="0.2">
      <c r="A386" s="1">
        <v>45311</v>
      </c>
      <c r="B386" t="s">
        <v>28</v>
      </c>
      <c r="C386" t="s">
        <v>20</v>
      </c>
      <c r="D386" t="s">
        <v>12</v>
      </c>
      <c r="E386">
        <v>5280</v>
      </c>
      <c r="F386">
        <v>1.25</v>
      </c>
      <c r="G386">
        <v>1.05</v>
      </c>
      <c r="H386">
        <v>6600</v>
      </c>
      <c r="I386">
        <v>5544</v>
      </c>
      <c r="J386">
        <v>1056</v>
      </c>
      <c r="K386">
        <f>Table1[[#This Row],[Liters_Sold]]</f>
        <v>5280</v>
      </c>
      <c r="L386">
        <f>Table1[[#This Row],[Delivery volume]]*0.05</f>
        <v>264</v>
      </c>
      <c r="M386" s="16">
        <f>Table1[[#This Row],[Delivery Cost]]/Table1[[#This Row],[Revenue]]</f>
        <v>0.04</v>
      </c>
      <c r="N386" t="str">
        <f t="shared" ref="N386:N449" si="6">TEXT(A386,"mmm")</f>
        <v>Jan</v>
      </c>
    </row>
    <row r="387" spans="1:14" x14ac:dyDescent="0.2">
      <c r="A387" s="1">
        <v>45612</v>
      </c>
      <c r="B387" t="s">
        <v>26</v>
      </c>
      <c r="C387" t="s">
        <v>17</v>
      </c>
      <c r="D387" t="s">
        <v>12</v>
      </c>
      <c r="E387">
        <v>4677</v>
      </c>
      <c r="F387">
        <v>1.25</v>
      </c>
      <c r="G387">
        <v>1.05</v>
      </c>
      <c r="H387">
        <v>5846.25</v>
      </c>
      <c r="I387">
        <v>4910.8500000000004</v>
      </c>
      <c r="J387">
        <v>935.39999999999895</v>
      </c>
      <c r="K387">
        <f>Table1[[#This Row],[Liters_Sold]]</f>
        <v>4677</v>
      </c>
      <c r="L387">
        <f>Table1[[#This Row],[Delivery volume]]*0.05</f>
        <v>233.85000000000002</v>
      </c>
      <c r="M387" s="16">
        <f>Table1[[#This Row],[Delivery Cost]]/Table1[[#This Row],[Revenue]]</f>
        <v>0.04</v>
      </c>
      <c r="N387" t="str">
        <f t="shared" si="6"/>
        <v>Nov</v>
      </c>
    </row>
    <row r="388" spans="1:14" x14ac:dyDescent="0.2">
      <c r="A388" s="1">
        <v>45555</v>
      </c>
      <c r="B388" t="s">
        <v>28</v>
      </c>
      <c r="C388" t="s">
        <v>11</v>
      </c>
      <c r="D388" t="s">
        <v>12</v>
      </c>
      <c r="E388">
        <v>3104</v>
      </c>
      <c r="F388">
        <v>1.25</v>
      </c>
      <c r="G388">
        <v>1.05</v>
      </c>
      <c r="H388">
        <v>3880</v>
      </c>
      <c r="I388">
        <v>3259.2</v>
      </c>
      <c r="J388">
        <v>620.79999999999905</v>
      </c>
      <c r="K388">
        <f>Table1[[#This Row],[Liters_Sold]]</f>
        <v>3104</v>
      </c>
      <c r="L388">
        <f>Table1[[#This Row],[Delivery volume]]*0.05</f>
        <v>155.20000000000002</v>
      </c>
      <c r="M388" s="16">
        <f>Table1[[#This Row],[Delivery Cost]]/Table1[[#This Row],[Revenue]]</f>
        <v>4.0000000000000008E-2</v>
      </c>
      <c r="N388" t="str">
        <f t="shared" si="6"/>
        <v>Sep</v>
      </c>
    </row>
    <row r="389" spans="1:14" x14ac:dyDescent="0.2">
      <c r="A389" s="1">
        <v>45433</v>
      </c>
      <c r="B389" t="s">
        <v>21</v>
      </c>
      <c r="C389" t="s">
        <v>20</v>
      </c>
      <c r="D389" t="s">
        <v>12</v>
      </c>
      <c r="E389">
        <v>2882</v>
      </c>
      <c r="F389">
        <v>1.25</v>
      </c>
      <c r="G389">
        <v>1.05</v>
      </c>
      <c r="H389">
        <v>3602.5</v>
      </c>
      <c r="I389">
        <v>3026.1</v>
      </c>
      <c r="J389">
        <v>576.4</v>
      </c>
      <c r="K389">
        <f>Table1[[#This Row],[Liters_Sold]]</f>
        <v>2882</v>
      </c>
      <c r="L389">
        <f>Table1[[#This Row],[Delivery volume]]*0.05</f>
        <v>144.1</v>
      </c>
      <c r="M389" s="16">
        <f>Table1[[#This Row],[Delivery Cost]]/Table1[[#This Row],[Revenue]]</f>
        <v>0.04</v>
      </c>
      <c r="N389" t="str">
        <f t="shared" si="6"/>
        <v>May</v>
      </c>
    </row>
    <row r="390" spans="1:14" x14ac:dyDescent="0.2">
      <c r="A390" s="1">
        <v>45434</v>
      </c>
      <c r="B390" t="s">
        <v>28</v>
      </c>
      <c r="C390" t="s">
        <v>17</v>
      </c>
      <c r="D390" t="s">
        <v>18</v>
      </c>
      <c r="E390">
        <v>1031</v>
      </c>
      <c r="F390">
        <v>1.2</v>
      </c>
      <c r="G390">
        <v>1</v>
      </c>
      <c r="H390">
        <v>1237.2</v>
      </c>
      <c r="I390">
        <v>1031</v>
      </c>
      <c r="J390">
        <v>206.2</v>
      </c>
      <c r="K390">
        <f>Table1[[#This Row],[Liters_Sold]]</f>
        <v>1031</v>
      </c>
      <c r="L390">
        <f>Table1[[#This Row],[Delivery volume]]*0.05</f>
        <v>51.550000000000004</v>
      </c>
      <c r="M390" s="16">
        <f>Table1[[#This Row],[Delivery Cost]]/Table1[[#This Row],[Revenue]]</f>
        <v>4.1666666666666671E-2</v>
      </c>
      <c r="N390" t="str">
        <f t="shared" si="6"/>
        <v>May</v>
      </c>
    </row>
    <row r="391" spans="1:14" x14ac:dyDescent="0.2">
      <c r="A391" s="1">
        <v>45383</v>
      </c>
      <c r="B391" t="s">
        <v>27</v>
      </c>
      <c r="C391" t="s">
        <v>29</v>
      </c>
      <c r="D391" t="s">
        <v>18</v>
      </c>
      <c r="E391">
        <v>4816</v>
      </c>
      <c r="F391">
        <v>1.2</v>
      </c>
      <c r="G391">
        <v>1</v>
      </c>
      <c r="H391">
        <v>5779.2</v>
      </c>
      <c r="I391">
        <v>4816</v>
      </c>
      <c r="J391">
        <v>963.19999999999902</v>
      </c>
      <c r="K391">
        <f>Table1[[#This Row],[Liters_Sold]]</f>
        <v>4816</v>
      </c>
      <c r="L391">
        <f>Table1[[#This Row],[Delivery volume]]*0.05</f>
        <v>240.8</v>
      </c>
      <c r="M391" s="16">
        <f>Table1[[#This Row],[Delivery Cost]]/Table1[[#This Row],[Revenue]]</f>
        <v>4.1666666666666671E-2</v>
      </c>
      <c r="N391" t="str">
        <f t="shared" si="6"/>
        <v>Apr</v>
      </c>
    </row>
    <row r="392" spans="1:14" x14ac:dyDescent="0.2">
      <c r="A392" s="1">
        <v>45645</v>
      </c>
      <c r="B392" t="s">
        <v>19</v>
      </c>
      <c r="C392" t="s">
        <v>20</v>
      </c>
      <c r="D392" t="s">
        <v>12</v>
      </c>
      <c r="E392">
        <v>1134</v>
      </c>
      <c r="F392">
        <v>1.25</v>
      </c>
      <c r="G392">
        <v>1.05</v>
      </c>
      <c r="H392">
        <v>1417.5</v>
      </c>
      <c r="I392">
        <v>1190.7</v>
      </c>
      <c r="J392">
        <v>226.79999999999899</v>
      </c>
      <c r="K392">
        <f>Table1[[#This Row],[Liters_Sold]]</f>
        <v>1134</v>
      </c>
      <c r="L392">
        <f>Table1[[#This Row],[Delivery volume]]*0.05</f>
        <v>56.7</v>
      </c>
      <c r="M392" s="16">
        <f>Table1[[#This Row],[Delivery Cost]]/Table1[[#This Row],[Revenue]]</f>
        <v>0.04</v>
      </c>
      <c r="N392" t="str">
        <f t="shared" si="6"/>
        <v>Dec</v>
      </c>
    </row>
    <row r="393" spans="1:14" x14ac:dyDescent="0.2">
      <c r="A393" s="1">
        <v>45613</v>
      </c>
      <c r="B393" t="s">
        <v>15</v>
      </c>
      <c r="C393" t="s">
        <v>29</v>
      </c>
      <c r="D393" t="s">
        <v>12</v>
      </c>
      <c r="E393">
        <v>2269</v>
      </c>
      <c r="F393">
        <v>1.25</v>
      </c>
      <c r="G393">
        <v>1.05</v>
      </c>
      <c r="H393">
        <v>2836.25</v>
      </c>
      <c r="I393">
        <v>2382.4499999999998</v>
      </c>
      <c r="J393">
        <v>453.79999999999899</v>
      </c>
      <c r="K393">
        <f>Table1[[#This Row],[Liters_Sold]]</f>
        <v>2269</v>
      </c>
      <c r="L393">
        <f>Table1[[#This Row],[Delivery volume]]*0.05</f>
        <v>113.45</v>
      </c>
      <c r="M393" s="16">
        <f>Table1[[#This Row],[Delivery Cost]]/Table1[[#This Row],[Revenue]]</f>
        <v>0.04</v>
      </c>
      <c r="N393" t="str">
        <f t="shared" si="6"/>
        <v>Nov</v>
      </c>
    </row>
    <row r="394" spans="1:14" x14ac:dyDescent="0.2">
      <c r="A394" s="1">
        <v>45579</v>
      </c>
      <c r="B394" t="s">
        <v>19</v>
      </c>
      <c r="C394" t="s">
        <v>29</v>
      </c>
      <c r="D394" t="s">
        <v>14</v>
      </c>
      <c r="E394">
        <v>4304</v>
      </c>
      <c r="F394">
        <v>0.9</v>
      </c>
      <c r="G394">
        <v>0.7</v>
      </c>
      <c r="H394">
        <v>3873.6</v>
      </c>
      <c r="I394">
        <v>3012.7999999999902</v>
      </c>
      <c r="J394">
        <v>860.8</v>
      </c>
      <c r="K394">
        <f>Table1[[#This Row],[Liters_Sold]]</f>
        <v>4304</v>
      </c>
      <c r="L394">
        <f>Table1[[#This Row],[Delivery volume]]*0.05</f>
        <v>215.20000000000002</v>
      </c>
      <c r="M394" s="16">
        <f>Table1[[#This Row],[Delivery Cost]]/Table1[[#This Row],[Revenue]]</f>
        <v>5.5555555555555559E-2</v>
      </c>
      <c r="N394" t="str">
        <f t="shared" si="6"/>
        <v>Oct</v>
      </c>
    </row>
    <row r="395" spans="1:14" x14ac:dyDescent="0.2">
      <c r="A395" s="1">
        <v>45506</v>
      </c>
      <c r="B395" t="s">
        <v>13</v>
      </c>
      <c r="C395" t="s">
        <v>23</v>
      </c>
      <c r="D395" t="s">
        <v>12</v>
      </c>
      <c r="E395">
        <v>2870</v>
      </c>
      <c r="F395">
        <v>1.25</v>
      </c>
      <c r="G395">
        <v>1.05</v>
      </c>
      <c r="H395">
        <v>3587.5</v>
      </c>
      <c r="I395">
        <v>3013.5</v>
      </c>
      <c r="J395">
        <v>574</v>
      </c>
      <c r="K395">
        <f>Table1[[#This Row],[Liters_Sold]]</f>
        <v>2870</v>
      </c>
      <c r="L395">
        <f>Table1[[#This Row],[Delivery volume]]*0.05</f>
        <v>143.5</v>
      </c>
      <c r="M395" s="16">
        <f>Table1[[#This Row],[Delivery Cost]]/Table1[[#This Row],[Revenue]]</f>
        <v>0.04</v>
      </c>
      <c r="N395" t="str">
        <f t="shared" si="6"/>
        <v>Aug</v>
      </c>
    </row>
    <row r="396" spans="1:14" x14ac:dyDescent="0.2">
      <c r="A396" s="1">
        <v>45633</v>
      </c>
      <c r="B396" t="s">
        <v>15</v>
      </c>
      <c r="C396" t="s">
        <v>11</v>
      </c>
      <c r="D396" t="s">
        <v>18</v>
      </c>
      <c r="E396">
        <v>502</v>
      </c>
      <c r="F396">
        <v>1.2</v>
      </c>
      <c r="G396">
        <v>1</v>
      </c>
      <c r="H396">
        <v>602.4</v>
      </c>
      <c r="I396">
        <v>502</v>
      </c>
      <c r="J396">
        <v>100.399999999999</v>
      </c>
      <c r="K396">
        <f>Table1[[#This Row],[Liters_Sold]]</f>
        <v>502</v>
      </c>
      <c r="L396">
        <f>Table1[[#This Row],[Delivery volume]]*0.05</f>
        <v>25.1</v>
      </c>
      <c r="M396" s="16">
        <f>Table1[[#This Row],[Delivery Cost]]/Table1[[#This Row],[Revenue]]</f>
        <v>4.1666666666666671E-2</v>
      </c>
      <c r="N396" t="str">
        <f t="shared" si="6"/>
        <v>Dec</v>
      </c>
    </row>
    <row r="397" spans="1:14" x14ac:dyDescent="0.2">
      <c r="A397" s="1">
        <v>45342</v>
      </c>
      <c r="B397" t="s">
        <v>30</v>
      </c>
      <c r="C397" t="s">
        <v>20</v>
      </c>
      <c r="D397" t="s">
        <v>12</v>
      </c>
      <c r="E397">
        <v>705</v>
      </c>
      <c r="F397">
        <v>1.25</v>
      </c>
      <c r="G397">
        <v>1.05</v>
      </c>
      <c r="H397">
        <v>881.25</v>
      </c>
      <c r="I397">
        <v>740.25</v>
      </c>
      <c r="J397">
        <v>141</v>
      </c>
      <c r="K397">
        <f>Table1[[#This Row],[Liters_Sold]]</f>
        <v>705</v>
      </c>
      <c r="L397">
        <f>Table1[[#This Row],[Delivery volume]]*0.05</f>
        <v>35.25</v>
      </c>
      <c r="M397" s="16">
        <f>Table1[[#This Row],[Delivery Cost]]/Table1[[#This Row],[Revenue]]</f>
        <v>0.04</v>
      </c>
      <c r="N397" t="str">
        <f t="shared" si="6"/>
        <v>Feb</v>
      </c>
    </row>
    <row r="398" spans="1:14" x14ac:dyDescent="0.2">
      <c r="A398" s="1">
        <v>45444</v>
      </c>
      <c r="B398" t="s">
        <v>24</v>
      </c>
      <c r="C398" t="s">
        <v>29</v>
      </c>
      <c r="D398" t="s">
        <v>12</v>
      </c>
      <c r="E398">
        <v>4635</v>
      </c>
      <c r="F398">
        <v>1.25</v>
      </c>
      <c r="G398">
        <v>1.05</v>
      </c>
      <c r="H398">
        <v>5793.75</v>
      </c>
      <c r="I398">
        <v>4866.75</v>
      </c>
      <c r="J398">
        <v>927</v>
      </c>
      <c r="K398">
        <f>Table1[[#This Row],[Liters_Sold]]</f>
        <v>4635</v>
      </c>
      <c r="L398">
        <f>Table1[[#This Row],[Delivery volume]]*0.05</f>
        <v>231.75</v>
      </c>
      <c r="M398" s="16">
        <f>Table1[[#This Row],[Delivery Cost]]/Table1[[#This Row],[Revenue]]</f>
        <v>0.04</v>
      </c>
      <c r="N398" t="str">
        <f t="shared" si="6"/>
        <v>Jun</v>
      </c>
    </row>
    <row r="399" spans="1:14" x14ac:dyDescent="0.2">
      <c r="A399" s="1">
        <v>45477</v>
      </c>
      <c r="B399" t="s">
        <v>24</v>
      </c>
      <c r="C399" t="s">
        <v>23</v>
      </c>
      <c r="D399" t="s">
        <v>12</v>
      </c>
      <c r="E399">
        <v>3121</v>
      </c>
      <c r="F399">
        <v>1.25</v>
      </c>
      <c r="G399">
        <v>1.05</v>
      </c>
      <c r="H399">
        <v>3901.25</v>
      </c>
      <c r="I399">
        <v>3277.05</v>
      </c>
      <c r="J399">
        <v>624.19999999999902</v>
      </c>
      <c r="K399">
        <f>Table1[[#This Row],[Liters_Sold]]</f>
        <v>3121</v>
      </c>
      <c r="L399">
        <f>Table1[[#This Row],[Delivery volume]]*0.05</f>
        <v>156.05000000000001</v>
      </c>
      <c r="M399" s="16">
        <f>Table1[[#This Row],[Delivery Cost]]/Table1[[#This Row],[Revenue]]</f>
        <v>0.04</v>
      </c>
      <c r="N399" t="str">
        <f t="shared" si="6"/>
        <v>Jul</v>
      </c>
    </row>
    <row r="400" spans="1:14" x14ac:dyDescent="0.2">
      <c r="A400" s="1">
        <v>45354</v>
      </c>
      <c r="B400" t="s">
        <v>21</v>
      </c>
      <c r="C400" t="s">
        <v>17</v>
      </c>
      <c r="D400" t="s">
        <v>18</v>
      </c>
      <c r="E400">
        <v>5239</v>
      </c>
      <c r="F400">
        <v>1.2</v>
      </c>
      <c r="G400">
        <v>1</v>
      </c>
      <c r="H400">
        <v>6286.8</v>
      </c>
      <c r="I400">
        <v>5239</v>
      </c>
      <c r="J400">
        <v>1047.8</v>
      </c>
      <c r="K400">
        <f>Table1[[#This Row],[Liters_Sold]]</f>
        <v>5239</v>
      </c>
      <c r="L400">
        <f>Table1[[#This Row],[Delivery volume]]*0.05</f>
        <v>261.95</v>
      </c>
      <c r="M400" s="16">
        <f>Table1[[#This Row],[Delivery Cost]]/Table1[[#This Row],[Revenue]]</f>
        <v>4.1666666666666664E-2</v>
      </c>
      <c r="N400" t="str">
        <f t="shared" si="6"/>
        <v>Mar</v>
      </c>
    </row>
    <row r="401" spans="1:14" x14ac:dyDescent="0.2">
      <c r="A401" s="1">
        <v>45481</v>
      </c>
      <c r="B401" t="s">
        <v>10</v>
      </c>
      <c r="C401" t="s">
        <v>20</v>
      </c>
      <c r="D401" t="s">
        <v>14</v>
      </c>
      <c r="E401">
        <v>3390</v>
      </c>
      <c r="F401">
        <v>0.9</v>
      </c>
      <c r="G401">
        <v>0.7</v>
      </c>
      <c r="H401">
        <v>3051</v>
      </c>
      <c r="I401">
        <v>2373</v>
      </c>
      <c r="J401">
        <v>678</v>
      </c>
      <c r="K401">
        <f>Table1[[#This Row],[Liters_Sold]]</f>
        <v>3390</v>
      </c>
      <c r="L401">
        <f>Table1[[#This Row],[Delivery volume]]*0.05</f>
        <v>169.5</v>
      </c>
      <c r="M401" s="16">
        <f>Table1[[#This Row],[Delivery Cost]]/Table1[[#This Row],[Revenue]]</f>
        <v>5.5555555555555552E-2</v>
      </c>
      <c r="N401" t="str">
        <f t="shared" si="6"/>
        <v>Jul</v>
      </c>
    </row>
    <row r="402" spans="1:14" x14ac:dyDescent="0.2">
      <c r="A402" s="1">
        <v>45416</v>
      </c>
      <c r="B402" t="s">
        <v>27</v>
      </c>
      <c r="C402" t="s">
        <v>29</v>
      </c>
      <c r="D402" t="s">
        <v>12</v>
      </c>
      <c r="E402">
        <v>3693</v>
      </c>
      <c r="F402">
        <v>1.25</v>
      </c>
      <c r="G402">
        <v>1.05</v>
      </c>
      <c r="H402">
        <v>4616.25</v>
      </c>
      <c r="I402">
        <v>3877.65</v>
      </c>
      <c r="J402">
        <v>738.599999999999</v>
      </c>
      <c r="K402">
        <f>Table1[[#This Row],[Liters_Sold]]</f>
        <v>3693</v>
      </c>
      <c r="L402">
        <f>Table1[[#This Row],[Delivery volume]]*0.05</f>
        <v>184.65</v>
      </c>
      <c r="M402" s="16">
        <f>Table1[[#This Row],[Delivery Cost]]/Table1[[#This Row],[Revenue]]</f>
        <v>0.04</v>
      </c>
      <c r="N402" t="str">
        <f t="shared" si="6"/>
        <v>May</v>
      </c>
    </row>
    <row r="403" spans="1:14" x14ac:dyDescent="0.2">
      <c r="A403" s="1">
        <v>45441</v>
      </c>
      <c r="B403" t="s">
        <v>13</v>
      </c>
      <c r="C403" t="s">
        <v>11</v>
      </c>
      <c r="D403" t="s">
        <v>12</v>
      </c>
      <c r="E403">
        <v>3166</v>
      </c>
      <c r="F403">
        <v>1.25</v>
      </c>
      <c r="G403">
        <v>1.05</v>
      </c>
      <c r="H403">
        <v>3957.5</v>
      </c>
      <c r="I403">
        <v>3324.3</v>
      </c>
      <c r="J403">
        <v>633.19999999999902</v>
      </c>
      <c r="K403">
        <f>Table1[[#This Row],[Liters_Sold]]</f>
        <v>3166</v>
      </c>
      <c r="L403">
        <f>Table1[[#This Row],[Delivery volume]]*0.05</f>
        <v>158.30000000000001</v>
      </c>
      <c r="M403" s="16">
        <f>Table1[[#This Row],[Delivery Cost]]/Table1[[#This Row],[Revenue]]</f>
        <v>0.04</v>
      </c>
      <c r="N403" t="str">
        <f t="shared" si="6"/>
        <v>May</v>
      </c>
    </row>
    <row r="404" spans="1:14" x14ac:dyDescent="0.2">
      <c r="A404" s="1">
        <v>45605</v>
      </c>
      <c r="B404" t="s">
        <v>16</v>
      </c>
      <c r="C404" t="s">
        <v>23</v>
      </c>
      <c r="D404" t="s">
        <v>12</v>
      </c>
      <c r="E404">
        <v>3806</v>
      </c>
      <c r="F404">
        <v>1.25</v>
      </c>
      <c r="G404">
        <v>1.05</v>
      </c>
      <c r="H404">
        <v>4757.5</v>
      </c>
      <c r="I404">
        <v>3996.3</v>
      </c>
      <c r="J404">
        <v>761.19999999999902</v>
      </c>
      <c r="K404">
        <f>Table1[[#This Row],[Liters_Sold]]</f>
        <v>3806</v>
      </c>
      <c r="L404">
        <f>Table1[[#This Row],[Delivery volume]]*0.05</f>
        <v>190.3</v>
      </c>
      <c r="M404" s="16">
        <f>Table1[[#This Row],[Delivery Cost]]/Table1[[#This Row],[Revenue]]</f>
        <v>0.04</v>
      </c>
      <c r="N404" t="str">
        <f t="shared" si="6"/>
        <v>Nov</v>
      </c>
    </row>
    <row r="405" spans="1:14" x14ac:dyDescent="0.2">
      <c r="A405" s="1">
        <v>45349</v>
      </c>
      <c r="B405" t="s">
        <v>26</v>
      </c>
      <c r="C405" t="s">
        <v>29</v>
      </c>
      <c r="D405" t="s">
        <v>12</v>
      </c>
      <c r="E405">
        <v>1397</v>
      </c>
      <c r="F405">
        <v>1.25</v>
      </c>
      <c r="G405">
        <v>1.05</v>
      </c>
      <c r="H405">
        <v>1746.25</v>
      </c>
      <c r="I405">
        <v>1466.85</v>
      </c>
      <c r="J405">
        <v>279.39999999999901</v>
      </c>
      <c r="K405">
        <f>Table1[[#This Row],[Liters_Sold]]</f>
        <v>1397</v>
      </c>
      <c r="L405">
        <f>Table1[[#This Row],[Delivery volume]]*0.05</f>
        <v>69.850000000000009</v>
      </c>
      <c r="M405" s="16">
        <f>Table1[[#This Row],[Delivery Cost]]/Table1[[#This Row],[Revenue]]</f>
        <v>4.0000000000000008E-2</v>
      </c>
      <c r="N405" t="str">
        <f t="shared" si="6"/>
        <v>Feb</v>
      </c>
    </row>
    <row r="406" spans="1:14" x14ac:dyDescent="0.2">
      <c r="A406" s="1">
        <v>45633</v>
      </c>
      <c r="B406" t="s">
        <v>10</v>
      </c>
      <c r="C406" t="s">
        <v>11</v>
      </c>
      <c r="D406" t="s">
        <v>12</v>
      </c>
      <c r="E406">
        <v>1585</v>
      </c>
      <c r="F406">
        <v>1.25</v>
      </c>
      <c r="G406">
        <v>1.05</v>
      </c>
      <c r="H406">
        <v>1981.25</v>
      </c>
      <c r="I406">
        <v>1664.25</v>
      </c>
      <c r="J406">
        <v>317</v>
      </c>
      <c r="K406">
        <f>Table1[[#This Row],[Liters_Sold]]</f>
        <v>1585</v>
      </c>
      <c r="L406">
        <f>Table1[[#This Row],[Delivery volume]]*0.05</f>
        <v>79.25</v>
      </c>
      <c r="M406" s="16">
        <f>Table1[[#This Row],[Delivery Cost]]/Table1[[#This Row],[Revenue]]</f>
        <v>0.04</v>
      </c>
      <c r="N406" t="str">
        <f t="shared" si="6"/>
        <v>Dec</v>
      </c>
    </row>
    <row r="407" spans="1:14" x14ac:dyDescent="0.2">
      <c r="A407" s="1">
        <v>45596</v>
      </c>
      <c r="B407" t="s">
        <v>24</v>
      </c>
      <c r="C407" t="s">
        <v>29</v>
      </c>
      <c r="D407" t="s">
        <v>12</v>
      </c>
      <c r="E407">
        <v>1779</v>
      </c>
      <c r="F407">
        <v>1.25</v>
      </c>
      <c r="G407">
        <v>1.05</v>
      </c>
      <c r="H407">
        <v>2223.75</v>
      </c>
      <c r="I407">
        <v>1867.95</v>
      </c>
      <c r="J407">
        <v>355.79999999999899</v>
      </c>
      <c r="K407">
        <f>Table1[[#This Row],[Liters_Sold]]</f>
        <v>1779</v>
      </c>
      <c r="L407">
        <f>Table1[[#This Row],[Delivery volume]]*0.05</f>
        <v>88.95</v>
      </c>
      <c r="M407" s="16">
        <f>Table1[[#This Row],[Delivery Cost]]/Table1[[#This Row],[Revenue]]</f>
        <v>0.04</v>
      </c>
      <c r="N407" t="str">
        <f t="shared" si="6"/>
        <v>Oct</v>
      </c>
    </row>
    <row r="408" spans="1:14" x14ac:dyDescent="0.2">
      <c r="A408" s="1">
        <v>45471</v>
      </c>
      <c r="B408" t="s">
        <v>19</v>
      </c>
      <c r="C408" t="s">
        <v>20</v>
      </c>
      <c r="D408" t="s">
        <v>18</v>
      </c>
      <c r="E408">
        <v>1170</v>
      </c>
      <c r="F408">
        <v>1.2</v>
      </c>
      <c r="G408">
        <v>1</v>
      </c>
      <c r="H408">
        <v>1404</v>
      </c>
      <c r="I408">
        <v>1170</v>
      </c>
      <c r="J408">
        <v>234</v>
      </c>
      <c r="K408">
        <f>Table1[[#This Row],[Liters_Sold]]</f>
        <v>1170</v>
      </c>
      <c r="L408">
        <f>Table1[[#This Row],[Delivery volume]]*0.05</f>
        <v>58.5</v>
      </c>
      <c r="M408" s="16">
        <f>Table1[[#This Row],[Delivery Cost]]/Table1[[#This Row],[Revenue]]</f>
        <v>4.1666666666666664E-2</v>
      </c>
      <c r="N408" t="str">
        <f t="shared" si="6"/>
        <v>Jun</v>
      </c>
    </row>
    <row r="409" spans="1:14" x14ac:dyDescent="0.2">
      <c r="A409" s="1">
        <v>45461</v>
      </c>
      <c r="B409" t="s">
        <v>28</v>
      </c>
      <c r="C409" t="s">
        <v>20</v>
      </c>
      <c r="D409" t="s">
        <v>12</v>
      </c>
      <c r="E409">
        <v>2005</v>
      </c>
      <c r="F409">
        <v>1.25</v>
      </c>
      <c r="G409">
        <v>1.05</v>
      </c>
      <c r="H409">
        <v>2506.25</v>
      </c>
      <c r="I409">
        <v>2105.25</v>
      </c>
      <c r="J409">
        <v>401</v>
      </c>
      <c r="K409">
        <f>Table1[[#This Row],[Liters_Sold]]</f>
        <v>2005</v>
      </c>
      <c r="L409">
        <f>Table1[[#This Row],[Delivery volume]]*0.05</f>
        <v>100.25</v>
      </c>
      <c r="M409" s="16">
        <f>Table1[[#This Row],[Delivery Cost]]/Table1[[#This Row],[Revenue]]</f>
        <v>0.04</v>
      </c>
      <c r="N409" t="str">
        <f t="shared" si="6"/>
        <v>Jun</v>
      </c>
    </row>
    <row r="410" spans="1:14" x14ac:dyDescent="0.2">
      <c r="A410" s="1">
        <v>45617</v>
      </c>
      <c r="B410" t="s">
        <v>28</v>
      </c>
      <c r="C410" t="s">
        <v>20</v>
      </c>
      <c r="D410" t="s">
        <v>12</v>
      </c>
      <c r="E410">
        <v>4075</v>
      </c>
      <c r="F410">
        <v>1.25</v>
      </c>
      <c r="G410">
        <v>1.05</v>
      </c>
      <c r="H410">
        <v>5093.75</v>
      </c>
      <c r="I410">
        <v>4278.75</v>
      </c>
      <c r="J410">
        <v>815</v>
      </c>
      <c r="K410">
        <f>Table1[[#This Row],[Liters_Sold]]</f>
        <v>4075</v>
      </c>
      <c r="L410">
        <f>Table1[[#This Row],[Delivery volume]]*0.05</f>
        <v>203.75</v>
      </c>
      <c r="M410" s="16">
        <f>Table1[[#This Row],[Delivery Cost]]/Table1[[#This Row],[Revenue]]</f>
        <v>0.04</v>
      </c>
      <c r="N410" t="str">
        <f t="shared" si="6"/>
        <v>Nov</v>
      </c>
    </row>
    <row r="411" spans="1:14" x14ac:dyDescent="0.2">
      <c r="A411" s="1">
        <v>45562</v>
      </c>
      <c r="B411" t="s">
        <v>30</v>
      </c>
      <c r="C411" t="s">
        <v>23</v>
      </c>
      <c r="D411" t="s">
        <v>14</v>
      </c>
      <c r="E411">
        <v>5314</v>
      </c>
      <c r="F411">
        <v>0.9</v>
      </c>
      <c r="G411">
        <v>0.7</v>
      </c>
      <c r="H411">
        <v>4782.6000000000004</v>
      </c>
      <c r="I411">
        <v>3719.7999999999902</v>
      </c>
      <c r="J411">
        <v>1062.8</v>
      </c>
      <c r="K411">
        <f>Table1[[#This Row],[Liters_Sold]]</f>
        <v>5314</v>
      </c>
      <c r="L411">
        <f>Table1[[#This Row],[Delivery volume]]*0.05</f>
        <v>265.7</v>
      </c>
      <c r="M411" s="16">
        <f>Table1[[#This Row],[Delivery Cost]]/Table1[[#This Row],[Revenue]]</f>
        <v>5.5555555555555546E-2</v>
      </c>
      <c r="N411" t="str">
        <f t="shared" si="6"/>
        <v>Sep</v>
      </c>
    </row>
    <row r="412" spans="1:14" x14ac:dyDescent="0.2">
      <c r="A412" s="1">
        <v>45345</v>
      </c>
      <c r="B412" t="s">
        <v>13</v>
      </c>
      <c r="C412" t="s">
        <v>20</v>
      </c>
      <c r="D412" t="s">
        <v>12</v>
      </c>
      <c r="E412">
        <v>5667</v>
      </c>
      <c r="F412">
        <v>1.25</v>
      </c>
      <c r="G412">
        <v>1.05</v>
      </c>
      <c r="H412">
        <v>7083.75</v>
      </c>
      <c r="I412">
        <v>5950.35</v>
      </c>
      <c r="J412">
        <v>1133.3999999999901</v>
      </c>
      <c r="K412">
        <f>Table1[[#This Row],[Liters_Sold]]</f>
        <v>5667</v>
      </c>
      <c r="L412">
        <f>Table1[[#This Row],[Delivery volume]]*0.05</f>
        <v>283.35000000000002</v>
      </c>
      <c r="M412" s="16">
        <f>Table1[[#This Row],[Delivery Cost]]/Table1[[#This Row],[Revenue]]</f>
        <v>0.04</v>
      </c>
      <c r="N412" t="str">
        <f t="shared" si="6"/>
        <v>Feb</v>
      </c>
    </row>
    <row r="413" spans="1:14" x14ac:dyDescent="0.2">
      <c r="A413" s="1">
        <v>45392</v>
      </c>
      <c r="B413" t="s">
        <v>27</v>
      </c>
      <c r="C413" t="s">
        <v>11</v>
      </c>
      <c r="D413" t="s">
        <v>14</v>
      </c>
      <c r="E413">
        <v>2455</v>
      </c>
      <c r="F413">
        <v>0.9</v>
      </c>
      <c r="G413">
        <v>0.7</v>
      </c>
      <c r="H413">
        <v>2209.5</v>
      </c>
      <c r="I413">
        <v>1718.5</v>
      </c>
      <c r="J413">
        <v>491</v>
      </c>
      <c r="K413">
        <f>Table1[[#This Row],[Liters_Sold]]</f>
        <v>2455</v>
      </c>
      <c r="L413">
        <f>Table1[[#This Row],[Delivery volume]]*0.05</f>
        <v>122.75</v>
      </c>
      <c r="M413" s="16">
        <f>Table1[[#This Row],[Delivery Cost]]/Table1[[#This Row],[Revenue]]</f>
        <v>5.5555555555555552E-2</v>
      </c>
      <c r="N413" t="str">
        <f t="shared" si="6"/>
        <v>Apr</v>
      </c>
    </row>
    <row r="414" spans="1:14" x14ac:dyDescent="0.2">
      <c r="A414" s="1">
        <v>45555</v>
      </c>
      <c r="B414" t="s">
        <v>27</v>
      </c>
      <c r="C414" t="s">
        <v>29</v>
      </c>
      <c r="D414" t="s">
        <v>12</v>
      </c>
      <c r="E414">
        <v>5755</v>
      </c>
      <c r="F414">
        <v>1.25</v>
      </c>
      <c r="G414">
        <v>1.05</v>
      </c>
      <c r="H414">
        <v>7193.75</v>
      </c>
      <c r="I414">
        <v>6042.75</v>
      </c>
      <c r="J414">
        <v>1151</v>
      </c>
      <c r="K414">
        <f>Table1[[#This Row],[Liters_Sold]]</f>
        <v>5755</v>
      </c>
      <c r="L414">
        <f>Table1[[#This Row],[Delivery volume]]*0.05</f>
        <v>287.75</v>
      </c>
      <c r="M414" s="16">
        <f>Table1[[#This Row],[Delivery Cost]]/Table1[[#This Row],[Revenue]]</f>
        <v>0.04</v>
      </c>
      <c r="N414" t="str">
        <f t="shared" si="6"/>
        <v>Sep</v>
      </c>
    </row>
    <row r="415" spans="1:14" x14ac:dyDescent="0.2">
      <c r="A415" s="1">
        <v>45344</v>
      </c>
      <c r="B415" t="s">
        <v>22</v>
      </c>
      <c r="C415" t="s">
        <v>17</v>
      </c>
      <c r="D415" t="s">
        <v>14</v>
      </c>
      <c r="E415">
        <v>749</v>
      </c>
      <c r="F415">
        <v>0.9</v>
      </c>
      <c r="G415">
        <v>0.7</v>
      </c>
      <c r="H415">
        <v>674.1</v>
      </c>
      <c r="I415">
        <v>524.29999999999995</v>
      </c>
      <c r="J415">
        <v>149.80000000000001</v>
      </c>
      <c r="K415">
        <f>Table1[[#This Row],[Liters_Sold]]</f>
        <v>749</v>
      </c>
      <c r="L415">
        <f>Table1[[#This Row],[Delivery volume]]*0.05</f>
        <v>37.450000000000003</v>
      </c>
      <c r="M415" s="16">
        <f>Table1[[#This Row],[Delivery Cost]]/Table1[[#This Row],[Revenue]]</f>
        <v>5.5555555555555559E-2</v>
      </c>
      <c r="N415" t="str">
        <f t="shared" si="6"/>
        <v>Feb</v>
      </c>
    </row>
    <row r="416" spans="1:14" x14ac:dyDescent="0.2">
      <c r="A416" s="1">
        <v>45351</v>
      </c>
      <c r="B416" t="s">
        <v>32</v>
      </c>
      <c r="C416" t="s">
        <v>11</v>
      </c>
      <c r="D416" t="s">
        <v>18</v>
      </c>
      <c r="E416">
        <v>2392</v>
      </c>
      <c r="F416">
        <v>1.2</v>
      </c>
      <c r="G416">
        <v>1</v>
      </c>
      <c r="H416">
        <v>2870.4</v>
      </c>
      <c r="I416">
        <v>2392</v>
      </c>
      <c r="J416">
        <v>478.4</v>
      </c>
      <c r="K416">
        <f>Table1[[#This Row],[Liters_Sold]]</f>
        <v>2392</v>
      </c>
      <c r="L416">
        <f>Table1[[#This Row],[Delivery volume]]*0.05</f>
        <v>119.60000000000001</v>
      </c>
      <c r="M416" s="16">
        <f>Table1[[#This Row],[Delivery Cost]]/Table1[[#This Row],[Revenue]]</f>
        <v>4.1666666666666671E-2</v>
      </c>
      <c r="N416" t="str">
        <f t="shared" si="6"/>
        <v>Feb</v>
      </c>
    </row>
    <row r="417" spans="1:14" x14ac:dyDescent="0.2">
      <c r="A417" s="1">
        <v>45399</v>
      </c>
      <c r="B417" t="s">
        <v>31</v>
      </c>
      <c r="C417" t="s">
        <v>11</v>
      </c>
      <c r="D417" t="s">
        <v>18</v>
      </c>
      <c r="E417">
        <v>3939</v>
      </c>
      <c r="F417">
        <v>1.2</v>
      </c>
      <c r="G417">
        <v>1</v>
      </c>
      <c r="H417">
        <v>4726.8</v>
      </c>
      <c r="I417">
        <v>3939</v>
      </c>
      <c r="J417">
        <v>787.8</v>
      </c>
      <c r="K417">
        <f>Table1[[#This Row],[Liters_Sold]]</f>
        <v>3939</v>
      </c>
      <c r="L417">
        <f>Table1[[#This Row],[Delivery volume]]*0.05</f>
        <v>196.95000000000002</v>
      </c>
      <c r="M417" s="16">
        <f>Table1[[#This Row],[Delivery Cost]]/Table1[[#This Row],[Revenue]]</f>
        <v>4.1666666666666671E-2</v>
      </c>
      <c r="N417" t="str">
        <f t="shared" si="6"/>
        <v>Apr</v>
      </c>
    </row>
    <row r="418" spans="1:14" x14ac:dyDescent="0.2">
      <c r="A418" s="1">
        <v>45296</v>
      </c>
      <c r="B418" t="s">
        <v>24</v>
      </c>
      <c r="C418" t="s">
        <v>20</v>
      </c>
      <c r="D418" t="s">
        <v>14</v>
      </c>
      <c r="E418">
        <v>2353</v>
      </c>
      <c r="F418">
        <v>0.9</v>
      </c>
      <c r="G418">
        <v>0.7</v>
      </c>
      <c r="H418">
        <v>2117.6999999999998</v>
      </c>
      <c r="I418">
        <v>1647.1</v>
      </c>
      <c r="J418">
        <v>470.6</v>
      </c>
      <c r="K418">
        <f>Table1[[#This Row],[Liters_Sold]]</f>
        <v>2353</v>
      </c>
      <c r="L418">
        <f>Table1[[#This Row],[Delivery volume]]*0.05</f>
        <v>117.65</v>
      </c>
      <c r="M418" s="16">
        <f>Table1[[#This Row],[Delivery Cost]]/Table1[[#This Row],[Revenue]]</f>
        <v>5.5555555555555566E-2</v>
      </c>
      <c r="N418" t="str">
        <f t="shared" si="6"/>
        <v>Jan</v>
      </c>
    </row>
    <row r="419" spans="1:14" x14ac:dyDescent="0.2">
      <c r="A419" s="1">
        <v>45394</v>
      </c>
      <c r="B419" t="s">
        <v>27</v>
      </c>
      <c r="C419" t="s">
        <v>23</v>
      </c>
      <c r="D419" t="s">
        <v>12</v>
      </c>
      <c r="E419">
        <v>3354</v>
      </c>
      <c r="F419">
        <v>1.25</v>
      </c>
      <c r="G419">
        <v>1.05</v>
      </c>
      <c r="H419">
        <v>4192.5</v>
      </c>
      <c r="I419">
        <v>3521.7</v>
      </c>
      <c r="J419">
        <v>670.79999999999905</v>
      </c>
      <c r="K419">
        <f>Table1[[#This Row],[Liters_Sold]]</f>
        <v>3354</v>
      </c>
      <c r="L419">
        <f>Table1[[#This Row],[Delivery volume]]*0.05</f>
        <v>167.70000000000002</v>
      </c>
      <c r="M419" s="16">
        <f>Table1[[#This Row],[Delivery Cost]]/Table1[[#This Row],[Revenue]]</f>
        <v>0.04</v>
      </c>
      <c r="N419" t="str">
        <f t="shared" si="6"/>
        <v>Apr</v>
      </c>
    </row>
    <row r="420" spans="1:14" x14ac:dyDescent="0.2">
      <c r="A420" s="1">
        <v>45487</v>
      </c>
      <c r="B420" t="s">
        <v>30</v>
      </c>
      <c r="C420" t="s">
        <v>29</v>
      </c>
      <c r="D420" t="s">
        <v>14</v>
      </c>
      <c r="E420">
        <v>2003</v>
      </c>
      <c r="F420">
        <v>0.9</v>
      </c>
      <c r="G420">
        <v>0.7</v>
      </c>
      <c r="H420">
        <v>1802.7</v>
      </c>
      <c r="I420">
        <v>1402.1</v>
      </c>
      <c r="J420">
        <v>400.6</v>
      </c>
      <c r="K420">
        <f>Table1[[#This Row],[Liters_Sold]]</f>
        <v>2003</v>
      </c>
      <c r="L420">
        <f>Table1[[#This Row],[Delivery volume]]*0.05</f>
        <v>100.15</v>
      </c>
      <c r="M420" s="16">
        <f>Table1[[#This Row],[Delivery Cost]]/Table1[[#This Row],[Revenue]]</f>
        <v>5.5555555555555559E-2</v>
      </c>
      <c r="N420" t="str">
        <f t="shared" si="6"/>
        <v>Jul</v>
      </c>
    </row>
    <row r="421" spans="1:14" x14ac:dyDescent="0.2">
      <c r="A421" s="1">
        <v>45553</v>
      </c>
      <c r="B421" t="s">
        <v>19</v>
      </c>
      <c r="C421" t="s">
        <v>23</v>
      </c>
      <c r="D421" t="s">
        <v>12</v>
      </c>
      <c r="E421">
        <v>3885</v>
      </c>
      <c r="F421">
        <v>1.25</v>
      </c>
      <c r="G421">
        <v>1.05</v>
      </c>
      <c r="H421">
        <v>4856.25</v>
      </c>
      <c r="I421">
        <v>4079.25</v>
      </c>
      <c r="J421">
        <v>777</v>
      </c>
      <c r="K421">
        <f>Table1[[#This Row],[Liters_Sold]]</f>
        <v>3885</v>
      </c>
      <c r="L421">
        <f>Table1[[#This Row],[Delivery volume]]*0.05</f>
        <v>194.25</v>
      </c>
      <c r="M421" s="16">
        <f>Table1[[#This Row],[Delivery Cost]]/Table1[[#This Row],[Revenue]]</f>
        <v>0.04</v>
      </c>
      <c r="N421" t="str">
        <f t="shared" si="6"/>
        <v>Sep</v>
      </c>
    </row>
    <row r="422" spans="1:14" x14ac:dyDescent="0.2">
      <c r="A422" s="1">
        <v>45656</v>
      </c>
      <c r="B422" t="s">
        <v>13</v>
      </c>
      <c r="C422" t="s">
        <v>29</v>
      </c>
      <c r="D422" t="s">
        <v>12</v>
      </c>
      <c r="E422">
        <v>4071</v>
      </c>
      <c r="F422">
        <v>1.25</v>
      </c>
      <c r="G422">
        <v>1.05</v>
      </c>
      <c r="H422">
        <v>5088.75</v>
      </c>
      <c r="I422">
        <v>4274.55</v>
      </c>
      <c r="J422">
        <v>814.19999999999902</v>
      </c>
      <c r="K422">
        <f>Table1[[#This Row],[Liters_Sold]]</f>
        <v>4071</v>
      </c>
      <c r="L422">
        <f>Table1[[#This Row],[Delivery volume]]*0.05</f>
        <v>203.55</v>
      </c>
      <c r="M422" s="16">
        <f>Table1[[#This Row],[Delivery Cost]]/Table1[[#This Row],[Revenue]]</f>
        <v>0.04</v>
      </c>
      <c r="N422" t="str">
        <f t="shared" si="6"/>
        <v>Dec</v>
      </c>
    </row>
    <row r="423" spans="1:14" x14ac:dyDescent="0.2">
      <c r="A423" s="1">
        <v>45641</v>
      </c>
      <c r="B423" t="s">
        <v>26</v>
      </c>
      <c r="C423" t="s">
        <v>29</v>
      </c>
      <c r="D423" t="s">
        <v>12</v>
      </c>
      <c r="E423">
        <v>4292</v>
      </c>
      <c r="F423">
        <v>1.25</v>
      </c>
      <c r="G423">
        <v>1.05</v>
      </c>
      <c r="H423">
        <v>5365</v>
      </c>
      <c r="I423">
        <v>4506.6000000000004</v>
      </c>
      <c r="J423">
        <v>858.39999999999895</v>
      </c>
      <c r="K423">
        <f>Table1[[#This Row],[Liters_Sold]]</f>
        <v>4292</v>
      </c>
      <c r="L423">
        <f>Table1[[#This Row],[Delivery volume]]*0.05</f>
        <v>214.60000000000002</v>
      </c>
      <c r="M423" s="16">
        <f>Table1[[#This Row],[Delivery Cost]]/Table1[[#This Row],[Revenue]]</f>
        <v>0.04</v>
      </c>
      <c r="N423" t="str">
        <f t="shared" si="6"/>
        <v>Dec</v>
      </c>
    </row>
    <row r="424" spans="1:14" x14ac:dyDescent="0.2">
      <c r="A424" s="1">
        <v>45338</v>
      </c>
      <c r="B424" t="s">
        <v>22</v>
      </c>
      <c r="C424" t="s">
        <v>23</v>
      </c>
      <c r="D424" t="s">
        <v>18</v>
      </c>
      <c r="E424">
        <v>3926</v>
      </c>
      <c r="F424">
        <v>1.2</v>
      </c>
      <c r="G424">
        <v>1</v>
      </c>
      <c r="H424">
        <v>4711.2</v>
      </c>
      <c r="I424">
        <v>3926</v>
      </c>
      <c r="J424">
        <v>785.19999999999902</v>
      </c>
      <c r="K424">
        <f>Table1[[#This Row],[Liters_Sold]]</f>
        <v>3926</v>
      </c>
      <c r="L424">
        <f>Table1[[#This Row],[Delivery volume]]*0.05</f>
        <v>196.3</v>
      </c>
      <c r="M424" s="16">
        <f>Table1[[#This Row],[Delivery Cost]]/Table1[[#This Row],[Revenue]]</f>
        <v>4.1666666666666671E-2</v>
      </c>
      <c r="N424" t="str">
        <f t="shared" si="6"/>
        <v>Feb</v>
      </c>
    </row>
    <row r="425" spans="1:14" x14ac:dyDescent="0.2">
      <c r="A425" s="1">
        <v>45646</v>
      </c>
      <c r="B425" t="s">
        <v>30</v>
      </c>
      <c r="C425" t="s">
        <v>11</v>
      </c>
      <c r="D425" t="s">
        <v>12</v>
      </c>
      <c r="E425">
        <v>5830</v>
      </c>
      <c r="F425">
        <v>1.25</v>
      </c>
      <c r="G425">
        <v>1.05</v>
      </c>
      <c r="H425">
        <v>7287.5</v>
      </c>
      <c r="I425">
        <v>6121.5</v>
      </c>
      <c r="J425">
        <v>1166</v>
      </c>
      <c r="K425">
        <f>Table1[[#This Row],[Liters_Sold]]</f>
        <v>5830</v>
      </c>
      <c r="L425">
        <f>Table1[[#This Row],[Delivery volume]]*0.05</f>
        <v>291.5</v>
      </c>
      <c r="M425" s="16">
        <f>Table1[[#This Row],[Delivery Cost]]/Table1[[#This Row],[Revenue]]</f>
        <v>0.04</v>
      </c>
      <c r="N425" t="str">
        <f t="shared" si="6"/>
        <v>Dec</v>
      </c>
    </row>
    <row r="426" spans="1:14" x14ac:dyDescent="0.2">
      <c r="A426" s="1">
        <v>45602</v>
      </c>
      <c r="B426" t="s">
        <v>25</v>
      </c>
      <c r="C426" t="s">
        <v>29</v>
      </c>
      <c r="D426" t="s">
        <v>18</v>
      </c>
      <c r="E426">
        <v>543</v>
      </c>
      <c r="F426">
        <v>1.2</v>
      </c>
      <c r="G426">
        <v>1</v>
      </c>
      <c r="H426">
        <v>651.6</v>
      </c>
      <c r="I426">
        <v>543</v>
      </c>
      <c r="J426">
        <v>108.6</v>
      </c>
      <c r="K426">
        <f>Table1[[#This Row],[Liters_Sold]]</f>
        <v>543</v>
      </c>
      <c r="L426">
        <f>Table1[[#This Row],[Delivery volume]]*0.05</f>
        <v>27.150000000000002</v>
      </c>
      <c r="M426" s="16">
        <f>Table1[[#This Row],[Delivery Cost]]/Table1[[#This Row],[Revenue]]</f>
        <v>4.1666666666666671E-2</v>
      </c>
      <c r="N426" t="str">
        <f t="shared" si="6"/>
        <v>Nov</v>
      </c>
    </row>
    <row r="427" spans="1:14" x14ac:dyDescent="0.2">
      <c r="A427" s="1">
        <v>45599</v>
      </c>
      <c r="B427" t="s">
        <v>21</v>
      </c>
      <c r="C427" t="s">
        <v>23</v>
      </c>
      <c r="D427" t="s">
        <v>18</v>
      </c>
      <c r="E427">
        <v>4112</v>
      </c>
      <c r="F427">
        <v>1.2</v>
      </c>
      <c r="G427">
        <v>1</v>
      </c>
      <c r="H427">
        <v>4934.3999999999996</v>
      </c>
      <c r="I427">
        <v>4112</v>
      </c>
      <c r="J427">
        <v>822.39999999999895</v>
      </c>
      <c r="K427">
        <f>Table1[[#This Row],[Liters_Sold]]</f>
        <v>4112</v>
      </c>
      <c r="L427">
        <f>Table1[[#This Row],[Delivery volume]]*0.05</f>
        <v>205.60000000000002</v>
      </c>
      <c r="M427" s="16">
        <f>Table1[[#This Row],[Delivery Cost]]/Table1[[#This Row],[Revenue]]</f>
        <v>4.1666666666666671E-2</v>
      </c>
      <c r="N427" t="str">
        <f t="shared" si="6"/>
        <v>Nov</v>
      </c>
    </row>
    <row r="428" spans="1:14" x14ac:dyDescent="0.2">
      <c r="A428" s="1">
        <v>45435</v>
      </c>
      <c r="B428" t="s">
        <v>26</v>
      </c>
      <c r="C428" t="s">
        <v>29</v>
      </c>
      <c r="D428" t="s">
        <v>18</v>
      </c>
      <c r="E428">
        <v>3118</v>
      </c>
      <c r="F428">
        <v>1.2</v>
      </c>
      <c r="G428">
        <v>1</v>
      </c>
      <c r="H428">
        <v>3741.6</v>
      </c>
      <c r="I428">
        <v>3118</v>
      </c>
      <c r="J428">
        <v>623.599999999999</v>
      </c>
      <c r="K428">
        <f>Table1[[#This Row],[Liters_Sold]]</f>
        <v>3118</v>
      </c>
      <c r="L428">
        <f>Table1[[#This Row],[Delivery volume]]*0.05</f>
        <v>155.9</v>
      </c>
      <c r="M428" s="16">
        <f>Table1[[#This Row],[Delivery Cost]]/Table1[[#This Row],[Revenue]]</f>
        <v>4.1666666666666671E-2</v>
      </c>
      <c r="N428" t="str">
        <f t="shared" si="6"/>
        <v>May</v>
      </c>
    </row>
    <row r="429" spans="1:14" x14ac:dyDescent="0.2">
      <c r="A429" s="1">
        <v>45560</v>
      </c>
      <c r="B429" t="s">
        <v>32</v>
      </c>
      <c r="C429" t="s">
        <v>17</v>
      </c>
      <c r="D429" t="s">
        <v>18</v>
      </c>
      <c r="E429">
        <v>5178</v>
      </c>
      <c r="F429">
        <v>1.2</v>
      </c>
      <c r="G429">
        <v>1</v>
      </c>
      <c r="H429">
        <v>6213.5999999999904</v>
      </c>
      <c r="I429">
        <v>5178</v>
      </c>
      <c r="J429">
        <v>1035.5999999999899</v>
      </c>
      <c r="K429">
        <f>Table1[[#This Row],[Liters_Sold]]</f>
        <v>5178</v>
      </c>
      <c r="L429">
        <f>Table1[[#This Row],[Delivery volume]]*0.05</f>
        <v>258.90000000000003</v>
      </c>
      <c r="M429" s="16">
        <f>Table1[[#This Row],[Delivery Cost]]/Table1[[#This Row],[Revenue]]</f>
        <v>4.1666666666666734E-2</v>
      </c>
      <c r="N429" t="str">
        <f t="shared" si="6"/>
        <v>Sep</v>
      </c>
    </row>
    <row r="430" spans="1:14" x14ac:dyDescent="0.2">
      <c r="A430" s="1">
        <v>45415</v>
      </c>
      <c r="B430" t="s">
        <v>25</v>
      </c>
      <c r="C430" t="s">
        <v>11</v>
      </c>
      <c r="D430" t="s">
        <v>12</v>
      </c>
      <c r="E430">
        <v>3663</v>
      </c>
      <c r="F430">
        <v>1.25</v>
      </c>
      <c r="G430">
        <v>1.05</v>
      </c>
      <c r="H430">
        <v>4578.75</v>
      </c>
      <c r="I430">
        <v>3846.15</v>
      </c>
      <c r="J430">
        <v>732.599999999999</v>
      </c>
      <c r="K430">
        <f>Table1[[#This Row],[Liters_Sold]]</f>
        <v>3663</v>
      </c>
      <c r="L430">
        <f>Table1[[#This Row],[Delivery volume]]*0.05</f>
        <v>183.15</v>
      </c>
      <c r="M430" s="16">
        <f>Table1[[#This Row],[Delivery Cost]]/Table1[[#This Row],[Revenue]]</f>
        <v>0.04</v>
      </c>
      <c r="N430" t="str">
        <f t="shared" si="6"/>
        <v>May</v>
      </c>
    </row>
    <row r="431" spans="1:14" x14ac:dyDescent="0.2">
      <c r="A431" s="1">
        <v>45397</v>
      </c>
      <c r="B431" t="s">
        <v>16</v>
      </c>
      <c r="C431" t="s">
        <v>20</v>
      </c>
      <c r="D431" t="s">
        <v>12</v>
      </c>
      <c r="E431">
        <v>1788</v>
      </c>
      <c r="F431">
        <v>1.25</v>
      </c>
      <c r="G431">
        <v>1.05</v>
      </c>
      <c r="H431">
        <v>2235</v>
      </c>
      <c r="I431">
        <v>1877.4</v>
      </c>
      <c r="J431">
        <v>357.599999999999</v>
      </c>
      <c r="K431">
        <f>Table1[[#This Row],[Liters_Sold]]</f>
        <v>1788</v>
      </c>
      <c r="L431">
        <f>Table1[[#This Row],[Delivery volume]]*0.05</f>
        <v>89.4</v>
      </c>
      <c r="M431" s="16">
        <f>Table1[[#This Row],[Delivery Cost]]/Table1[[#This Row],[Revenue]]</f>
        <v>0.04</v>
      </c>
      <c r="N431" t="str">
        <f t="shared" si="6"/>
        <v>Apr</v>
      </c>
    </row>
    <row r="432" spans="1:14" x14ac:dyDescent="0.2">
      <c r="A432" s="1">
        <v>45449</v>
      </c>
      <c r="B432" t="s">
        <v>32</v>
      </c>
      <c r="C432" t="s">
        <v>29</v>
      </c>
      <c r="D432" t="s">
        <v>12</v>
      </c>
      <c r="E432">
        <v>3442</v>
      </c>
      <c r="F432">
        <v>1.25</v>
      </c>
      <c r="G432">
        <v>1.05</v>
      </c>
      <c r="H432">
        <v>4302.5</v>
      </c>
      <c r="I432">
        <v>3614.1</v>
      </c>
      <c r="J432">
        <v>688.39999999999895</v>
      </c>
      <c r="K432">
        <f>Table1[[#This Row],[Liters_Sold]]</f>
        <v>3442</v>
      </c>
      <c r="L432">
        <f>Table1[[#This Row],[Delivery volume]]*0.05</f>
        <v>172.10000000000002</v>
      </c>
      <c r="M432" s="16">
        <f>Table1[[#This Row],[Delivery Cost]]/Table1[[#This Row],[Revenue]]</f>
        <v>4.0000000000000008E-2</v>
      </c>
      <c r="N432" t="str">
        <f t="shared" si="6"/>
        <v>Jun</v>
      </c>
    </row>
    <row r="433" spans="1:14" x14ac:dyDescent="0.2">
      <c r="A433" s="1">
        <v>45438</v>
      </c>
      <c r="B433" t="s">
        <v>28</v>
      </c>
      <c r="C433" t="s">
        <v>17</v>
      </c>
      <c r="D433" t="s">
        <v>12</v>
      </c>
      <c r="E433">
        <v>719</v>
      </c>
      <c r="F433">
        <v>1.25</v>
      </c>
      <c r="G433">
        <v>1.05</v>
      </c>
      <c r="H433">
        <v>898.75</v>
      </c>
      <c r="I433">
        <v>754.95</v>
      </c>
      <c r="J433">
        <v>143.79999999999899</v>
      </c>
      <c r="K433">
        <f>Table1[[#This Row],[Liters_Sold]]</f>
        <v>719</v>
      </c>
      <c r="L433">
        <f>Table1[[#This Row],[Delivery volume]]*0.05</f>
        <v>35.950000000000003</v>
      </c>
      <c r="M433" s="16">
        <f>Table1[[#This Row],[Delivery Cost]]/Table1[[#This Row],[Revenue]]</f>
        <v>0.04</v>
      </c>
      <c r="N433" t="str">
        <f t="shared" si="6"/>
        <v>May</v>
      </c>
    </row>
    <row r="434" spans="1:14" x14ac:dyDescent="0.2">
      <c r="A434" s="1">
        <v>45436</v>
      </c>
      <c r="B434" t="s">
        <v>21</v>
      </c>
      <c r="C434" t="s">
        <v>20</v>
      </c>
      <c r="D434" t="s">
        <v>12</v>
      </c>
      <c r="E434">
        <v>2425</v>
      </c>
      <c r="F434">
        <v>1.25</v>
      </c>
      <c r="G434">
        <v>1.05</v>
      </c>
      <c r="H434">
        <v>3031.25</v>
      </c>
      <c r="I434">
        <v>2546.25</v>
      </c>
      <c r="J434">
        <v>485</v>
      </c>
      <c r="K434">
        <f>Table1[[#This Row],[Liters_Sold]]</f>
        <v>2425</v>
      </c>
      <c r="L434">
        <f>Table1[[#This Row],[Delivery volume]]*0.05</f>
        <v>121.25</v>
      </c>
      <c r="M434" s="16">
        <f>Table1[[#This Row],[Delivery Cost]]/Table1[[#This Row],[Revenue]]</f>
        <v>0.04</v>
      </c>
      <c r="N434" t="str">
        <f t="shared" si="6"/>
        <v>May</v>
      </c>
    </row>
    <row r="435" spans="1:14" x14ac:dyDescent="0.2">
      <c r="A435" s="1">
        <v>45411</v>
      </c>
      <c r="B435" t="s">
        <v>24</v>
      </c>
      <c r="C435" t="s">
        <v>20</v>
      </c>
      <c r="D435" t="s">
        <v>12</v>
      </c>
      <c r="E435">
        <v>3472</v>
      </c>
      <c r="F435">
        <v>1.25</v>
      </c>
      <c r="G435">
        <v>1.05</v>
      </c>
      <c r="H435">
        <v>4340</v>
      </c>
      <c r="I435">
        <v>3645.6</v>
      </c>
      <c r="J435">
        <v>694.39999999999895</v>
      </c>
      <c r="K435">
        <f>Table1[[#This Row],[Liters_Sold]]</f>
        <v>3472</v>
      </c>
      <c r="L435">
        <f>Table1[[#This Row],[Delivery volume]]*0.05</f>
        <v>173.60000000000002</v>
      </c>
      <c r="M435" s="16">
        <f>Table1[[#This Row],[Delivery Cost]]/Table1[[#This Row],[Revenue]]</f>
        <v>4.0000000000000008E-2</v>
      </c>
      <c r="N435" t="str">
        <f t="shared" si="6"/>
        <v>Apr</v>
      </c>
    </row>
    <row r="436" spans="1:14" x14ac:dyDescent="0.2">
      <c r="A436" s="1">
        <v>45610</v>
      </c>
      <c r="B436" t="s">
        <v>19</v>
      </c>
      <c r="C436" t="s">
        <v>29</v>
      </c>
      <c r="D436" t="s">
        <v>12</v>
      </c>
      <c r="E436">
        <v>4013</v>
      </c>
      <c r="F436">
        <v>1.25</v>
      </c>
      <c r="G436">
        <v>1.05</v>
      </c>
      <c r="H436">
        <v>5016.25</v>
      </c>
      <c r="I436">
        <v>4213.6499999999996</v>
      </c>
      <c r="J436">
        <v>802.599999999999</v>
      </c>
      <c r="K436">
        <f>Table1[[#This Row],[Liters_Sold]]</f>
        <v>4013</v>
      </c>
      <c r="L436">
        <f>Table1[[#This Row],[Delivery volume]]*0.05</f>
        <v>200.65</v>
      </c>
      <c r="M436" s="16">
        <f>Table1[[#This Row],[Delivery Cost]]/Table1[[#This Row],[Revenue]]</f>
        <v>0.04</v>
      </c>
      <c r="N436" t="str">
        <f t="shared" si="6"/>
        <v>Nov</v>
      </c>
    </row>
    <row r="437" spans="1:14" x14ac:dyDescent="0.2">
      <c r="A437" s="1">
        <v>45566</v>
      </c>
      <c r="B437" t="s">
        <v>21</v>
      </c>
      <c r="C437" t="s">
        <v>23</v>
      </c>
      <c r="D437" t="s">
        <v>14</v>
      </c>
      <c r="E437">
        <v>2948</v>
      </c>
      <c r="F437">
        <v>0.9</v>
      </c>
      <c r="G437">
        <v>0.7</v>
      </c>
      <c r="H437">
        <v>2653.2</v>
      </c>
      <c r="I437">
        <v>2063.6</v>
      </c>
      <c r="J437">
        <v>589.6</v>
      </c>
      <c r="K437">
        <f>Table1[[#This Row],[Liters_Sold]]</f>
        <v>2948</v>
      </c>
      <c r="L437">
        <f>Table1[[#This Row],[Delivery volume]]*0.05</f>
        <v>147.4</v>
      </c>
      <c r="M437" s="16">
        <f>Table1[[#This Row],[Delivery Cost]]/Table1[[#This Row],[Revenue]]</f>
        <v>5.5555555555555559E-2</v>
      </c>
      <c r="N437" t="str">
        <f t="shared" si="6"/>
        <v>Oct</v>
      </c>
    </row>
    <row r="438" spans="1:14" x14ac:dyDescent="0.2">
      <c r="A438" s="1">
        <v>45383</v>
      </c>
      <c r="B438" t="s">
        <v>32</v>
      </c>
      <c r="C438" t="s">
        <v>29</v>
      </c>
      <c r="D438" t="s">
        <v>18</v>
      </c>
      <c r="E438">
        <v>3971</v>
      </c>
      <c r="F438">
        <v>1.2</v>
      </c>
      <c r="G438">
        <v>1</v>
      </c>
      <c r="H438">
        <v>4765.2</v>
      </c>
      <c r="I438">
        <v>3971</v>
      </c>
      <c r="J438">
        <v>794.19999999999902</v>
      </c>
      <c r="K438">
        <f>Table1[[#This Row],[Liters_Sold]]</f>
        <v>3971</v>
      </c>
      <c r="L438">
        <f>Table1[[#This Row],[Delivery volume]]*0.05</f>
        <v>198.55</v>
      </c>
      <c r="M438" s="16">
        <f>Table1[[#This Row],[Delivery Cost]]/Table1[[#This Row],[Revenue]]</f>
        <v>4.1666666666666671E-2</v>
      </c>
      <c r="N438" t="str">
        <f t="shared" si="6"/>
        <v>Apr</v>
      </c>
    </row>
    <row r="439" spans="1:14" x14ac:dyDescent="0.2">
      <c r="A439" s="1">
        <v>45349</v>
      </c>
      <c r="B439" t="s">
        <v>31</v>
      </c>
      <c r="C439" t="s">
        <v>17</v>
      </c>
      <c r="D439" t="s">
        <v>12</v>
      </c>
      <c r="E439">
        <v>3274</v>
      </c>
      <c r="F439">
        <v>1.25</v>
      </c>
      <c r="G439">
        <v>1.05</v>
      </c>
      <c r="H439">
        <v>4092.5</v>
      </c>
      <c r="I439">
        <v>3437.7</v>
      </c>
      <c r="J439">
        <v>654.79999999999905</v>
      </c>
      <c r="K439">
        <f>Table1[[#This Row],[Liters_Sold]]</f>
        <v>3274</v>
      </c>
      <c r="L439">
        <f>Table1[[#This Row],[Delivery volume]]*0.05</f>
        <v>163.70000000000002</v>
      </c>
      <c r="M439" s="16">
        <f>Table1[[#This Row],[Delivery Cost]]/Table1[[#This Row],[Revenue]]</f>
        <v>0.04</v>
      </c>
      <c r="N439" t="str">
        <f t="shared" si="6"/>
        <v>Feb</v>
      </c>
    </row>
    <row r="440" spans="1:14" x14ac:dyDescent="0.2">
      <c r="A440" s="1">
        <v>45637</v>
      </c>
      <c r="B440" t="s">
        <v>25</v>
      </c>
      <c r="C440" t="s">
        <v>20</v>
      </c>
      <c r="D440" t="s">
        <v>18</v>
      </c>
      <c r="E440">
        <v>1490</v>
      </c>
      <c r="F440">
        <v>1.2</v>
      </c>
      <c r="G440">
        <v>1</v>
      </c>
      <c r="H440">
        <v>1788</v>
      </c>
      <c r="I440">
        <v>1490</v>
      </c>
      <c r="J440">
        <v>298</v>
      </c>
      <c r="K440">
        <f>Table1[[#This Row],[Liters_Sold]]</f>
        <v>1490</v>
      </c>
      <c r="L440">
        <f>Table1[[#This Row],[Delivery volume]]*0.05</f>
        <v>74.5</v>
      </c>
      <c r="M440" s="16">
        <f>Table1[[#This Row],[Delivery Cost]]/Table1[[#This Row],[Revenue]]</f>
        <v>4.1666666666666664E-2</v>
      </c>
      <c r="N440" t="str">
        <f t="shared" si="6"/>
        <v>Dec</v>
      </c>
    </row>
    <row r="441" spans="1:14" x14ac:dyDescent="0.2">
      <c r="A441" s="1">
        <v>45520</v>
      </c>
      <c r="B441" t="s">
        <v>24</v>
      </c>
      <c r="C441" t="s">
        <v>29</v>
      </c>
      <c r="D441" t="s">
        <v>12</v>
      </c>
      <c r="E441">
        <v>3446</v>
      </c>
      <c r="F441">
        <v>1.25</v>
      </c>
      <c r="G441">
        <v>1.05</v>
      </c>
      <c r="H441">
        <v>4307.5</v>
      </c>
      <c r="I441">
        <v>3618.3</v>
      </c>
      <c r="J441">
        <v>689.19999999999902</v>
      </c>
      <c r="K441">
        <f>Table1[[#This Row],[Liters_Sold]]</f>
        <v>3446</v>
      </c>
      <c r="L441">
        <f>Table1[[#This Row],[Delivery volume]]*0.05</f>
        <v>172.3</v>
      </c>
      <c r="M441" s="16">
        <f>Table1[[#This Row],[Delivery Cost]]/Table1[[#This Row],[Revenue]]</f>
        <v>0.04</v>
      </c>
      <c r="N441" t="str">
        <f t="shared" si="6"/>
        <v>Aug</v>
      </c>
    </row>
    <row r="442" spans="1:14" x14ac:dyDescent="0.2">
      <c r="A442" s="1">
        <v>45408</v>
      </c>
      <c r="B442" t="s">
        <v>15</v>
      </c>
      <c r="C442" t="s">
        <v>23</v>
      </c>
      <c r="D442" t="s">
        <v>12</v>
      </c>
      <c r="E442">
        <v>2312</v>
      </c>
      <c r="F442">
        <v>1.25</v>
      </c>
      <c r="G442">
        <v>1.05</v>
      </c>
      <c r="H442">
        <v>2890</v>
      </c>
      <c r="I442">
        <v>2427.6</v>
      </c>
      <c r="J442">
        <v>462.4</v>
      </c>
      <c r="K442">
        <f>Table1[[#This Row],[Liters_Sold]]</f>
        <v>2312</v>
      </c>
      <c r="L442">
        <f>Table1[[#This Row],[Delivery volume]]*0.05</f>
        <v>115.60000000000001</v>
      </c>
      <c r="M442" s="16">
        <f>Table1[[#This Row],[Delivery Cost]]/Table1[[#This Row],[Revenue]]</f>
        <v>0.04</v>
      </c>
      <c r="N442" t="str">
        <f t="shared" si="6"/>
        <v>Apr</v>
      </c>
    </row>
    <row r="443" spans="1:14" x14ac:dyDescent="0.2">
      <c r="A443" s="1">
        <v>45609</v>
      </c>
      <c r="B443" t="s">
        <v>31</v>
      </c>
      <c r="C443" t="s">
        <v>29</v>
      </c>
      <c r="D443" t="s">
        <v>18</v>
      </c>
      <c r="E443">
        <v>5453</v>
      </c>
      <c r="F443">
        <v>1.2</v>
      </c>
      <c r="G443">
        <v>1</v>
      </c>
      <c r="H443">
        <v>6543.5999999999904</v>
      </c>
      <c r="I443">
        <v>5453</v>
      </c>
      <c r="J443">
        <v>1090.5999999999899</v>
      </c>
      <c r="K443">
        <f>Table1[[#This Row],[Liters_Sold]]</f>
        <v>5453</v>
      </c>
      <c r="L443">
        <f>Table1[[#This Row],[Delivery volume]]*0.05</f>
        <v>272.65000000000003</v>
      </c>
      <c r="M443" s="16">
        <f>Table1[[#This Row],[Delivery Cost]]/Table1[[#This Row],[Revenue]]</f>
        <v>4.1666666666666734E-2</v>
      </c>
      <c r="N443" t="str">
        <f t="shared" si="6"/>
        <v>Nov</v>
      </c>
    </row>
    <row r="444" spans="1:14" x14ac:dyDescent="0.2">
      <c r="A444" s="1">
        <v>45570</v>
      </c>
      <c r="B444" t="s">
        <v>28</v>
      </c>
      <c r="C444" t="s">
        <v>11</v>
      </c>
      <c r="D444" t="s">
        <v>12</v>
      </c>
      <c r="E444">
        <v>1303</v>
      </c>
      <c r="F444">
        <v>1.25</v>
      </c>
      <c r="G444">
        <v>1.05</v>
      </c>
      <c r="H444">
        <v>1628.75</v>
      </c>
      <c r="I444">
        <v>1368.15</v>
      </c>
      <c r="J444">
        <v>260.599999999999</v>
      </c>
      <c r="K444">
        <f>Table1[[#This Row],[Liters_Sold]]</f>
        <v>1303</v>
      </c>
      <c r="L444">
        <f>Table1[[#This Row],[Delivery volume]]*0.05</f>
        <v>65.150000000000006</v>
      </c>
      <c r="M444" s="16">
        <f>Table1[[#This Row],[Delivery Cost]]/Table1[[#This Row],[Revenue]]</f>
        <v>0.04</v>
      </c>
      <c r="N444" t="str">
        <f t="shared" si="6"/>
        <v>Oct</v>
      </c>
    </row>
    <row r="445" spans="1:14" x14ac:dyDescent="0.2">
      <c r="A445" s="1">
        <v>45418</v>
      </c>
      <c r="B445" t="s">
        <v>31</v>
      </c>
      <c r="C445" t="s">
        <v>23</v>
      </c>
      <c r="D445" t="s">
        <v>12</v>
      </c>
      <c r="E445">
        <v>989</v>
      </c>
      <c r="F445">
        <v>1.25</v>
      </c>
      <c r="G445">
        <v>1.05</v>
      </c>
      <c r="H445">
        <v>1236.25</v>
      </c>
      <c r="I445">
        <v>1038.45</v>
      </c>
      <c r="J445">
        <v>197.79999999999899</v>
      </c>
      <c r="K445">
        <f>Table1[[#This Row],[Liters_Sold]]</f>
        <v>989</v>
      </c>
      <c r="L445">
        <f>Table1[[#This Row],[Delivery volume]]*0.05</f>
        <v>49.45</v>
      </c>
      <c r="M445" s="16">
        <f>Table1[[#This Row],[Delivery Cost]]/Table1[[#This Row],[Revenue]]</f>
        <v>0.04</v>
      </c>
      <c r="N445" t="str">
        <f t="shared" si="6"/>
        <v>May</v>
      </c>
    </row>
    <row r="446" spans="1:14" x14ac:dyDescent="0.2">
      <c r="A446" s="1">
        <v>45420</v>
      </c>
      <c r="B446" t="s">
        <v>22</v>
      </c>
      <c r="C446" t="s">
        <v>17</v>
      </c>
      <c r="D446" t="s">
        <v>14</v>
      </c>
      <c r="E446">
        <v>4056</v>
      </c>
      <c r="F446">
        <v>0.9</v>
      </c>
      <c r="G446">
        <v>0.7</v>
      </c>
      <c r="H446">
        <v>3650.4</v>
      </c>
      <c r="I446">
        <v>2839.2</v>
      </c>
      <c r="J446">
        <v>811.2</v>
      </c>
      <c r="K446">
        <f>Table1[[#This Row],[Liters_Sold]]</f>
        <v>4056</v>
      </c>
      <c r="L446">
        <f>Table1[[#This Row],[Delivery volume]]*0.05</f>
        <v>202.8</v>
      </c>
      <c r="M446" s="16">
        <f>Table1[[#This Row],[Delivery Cost]]/Table1[[#This Row],[Revenue]]</f>
        <v>5.5555555555555559E-2</v>
      </c>
      <c r="N446" t="str">
        <f t="shared" si="6"/>
        <v>May</v>
      </c>
    </row>
    <row r="447" spans="1:14" x14ac:dyDescent="0.2">
      <c r="A447" s="1">
        <v>45349</v>
      </c>
      <c r="B447" t="s">
        <v>22</v>
      </c>
      <c r="C447" t="s">
        <v>20</v>
      </c>
      <c r="D447" t="s">
        <v>14</v>
      </c>
      <c r="E447">
        <v>1993</v>
      </c>
      <c r="F447">
        <v>0.9</v>
      </c>
      <c r="G447">
        <v>0.7</v>
      </c>
      <c r="H447">
        <v>1793.7</v>
      </c>
      <c r="I447">
        <v>1395.1</v>
      </c>
      <c r="J447">
        <v>398.6</v>
      </c>
      <c r="K447">
        <f>Table1[[#This Row],[Liters_Sold]]</f>
        <v>1993</v>
      </c>
      <c r="L447">
        <f>Table1[[#This Row],[Delivery volume]]*0.05</f>
        <v>99.65</v>
      </c>
      <c r="M447" s="16">
        <f>Table1[[#This Row],[Delivery Cost]]/Table1[[#This Row],[Revenue]]</f>
        <v>5.5555555555555559E-2</v>
      </c>
      <c r="N447" t="str">
        <f t="shared" si="6"/>
        <v>Feb</v>
      </c>
    </row>
    <row r="448" spans="1:14" x14ac:dyDescent="0.2">
      <c r="A448" s="1">
        <v>45413</v>
      </c>
      <c r="B448" t="s">
        <v>16</v>
      </c>
      <c r="C448" t="s">
        <v>29</v>
      </c>
      <c r="D448" t="s">
        <v>18</v>
      </c>
      <c r="E448">
        <v>4145</v>
      </c>
      <c r="F448">
        <v>1.2</v>
      </c>
      <c r="G448">
        <v>1</v>
      </c>
      <c r="H448">
        <v>4974</v>
      </c>
      <c r="I448">
        <v>4145</v>
      </c>
      <c r="J448">
        <v>829</v>
      </c>
      <c r="K448">
        <f>Table1[[#This Row],[Liters_Sold]]</f>
        <v>4145</v>
      </c>
      <c r="L448">
        <f>Table1[[#This Row],[Delivery volume]]*0.05</f>
        <v>207.25</v>
      </c>
      <c r="M448" s="16">
        <f>Table1[[#This Row],[Delivery Cost]]/Table1[[#This Row],[Revenue]]</f>
        <v>4.1666666666666664E-2</v>
      </c>
      <c r="N448" t="str">
        <f t="shared" si="6"/>
        <v>May</v>
      </c>
    </row>
    <row r="449" spans="1:14" x14ac:dyDescent="0.2">
      <c r="A449" s="1">
        <v>45292</v>
      </c>
      <c r="B449" t="s">
        <v>32</v>
      </c>
      <c r="C449" t="s">
        <v>23</v>
      </c>
      <c r="D449" t="s">
        <v>18</v>
      </c>
      <c r="E449">
        <v>3391</v>
      </c>
      <c r="F449">
        <v>1.2</v>
      </c>
      <c r="G449">
        <v>1</v>
      </c>
      <c r="H449">
        <v>4069.2</v>
      </c>
      <c r="I449">
        <v>3391</v>
      </c>
      <c r="J449">
        <v>678.19999999999902</v>
      </c>
      <c r="K449">
        <f>Table1[[#This Row],[Liters_Sold]]</f>
        <v>3391</v>
      </c>
      <c r="L449">
        <f>Table1[[#This Row],[Delivery volume]]*0.05</f>
        <v>169.55</v>
      </c>
      <c r="M449" s="16">
        <f>Table1[[#This Row],[Delivery Cost]]/Table1[[#This Row],[Revenue]]</f>
        <v>4.1666666666666671E-2</v>
      </c>
      <c r="N449" t="str">
        <f t="shared" si="6"/>
        <v>Jan</v>
      </c>
    </row>
    <row r="450" spans="1:14" x14ac:dyDescent="0.2">
      <c r="A450" s="1">
        <v>45530</v>
      </c>
      <c r="B450" t="s">
        <v>13</v>
      </c>
      <c r="C450" t="s">
        <v>11</v>
      </c>
      <c r="D450" t="s">
        <v>18</v>
      </c>
      <c r="E450">
        <v>2205</v>
      </c>
      <c r="F450">
        <v>1.2</v>
      </c>
      <c r="G450">
        <v>1</v>
      </c>
      <c r="H450">
        <v>2646</v>
      </c>
      <c r="I450">
        <v>2205</v>
      </c>
      <c r="J450">
        <v>441</v>
      </c>
      <c r="K450">
        <f>Table1[[#This Row],[Liters_Sold]]</f>
        <v>2205</v>
      </c>
      <c r="L450">
        <f>Table1[[#This Row],[Delivery volume]]*0.05</f>
        <v>110.25</v>
      </c>
      <c r="M450" s="16">
        <f>Table1[[#This Row],[Delivery Cost]]/Table1[[#This Row],[Revenue]]</f>
        <v>4.1666666666666664E-2</v>
      </c>
      <c r="N450" t="str">
        <f t="shared" ref="N450:N513" si="7">TEXT(A450,"mmm")</f>
        <v>Aug</v>
      </c>
    </row>
    <row r="451" spans="1:14" x14ac:dyDescent="0.2">
      <c r="A451" s="1">
        <v>45581</v>
      </c>
      <c r="B451" t="s">
        <v>26</v>
      </c>
      <c r="C451" t="s">
        <v>23</v>
      </c>
      <c r="D451" t="s">
        <v>12</v>
      </c>
      <c r="E451">
        <v>4016</v>
      </c>
      <c r="F451">
        <v>1.25</v>
      </c>
      <c r="G451">
        <v>1.05</v>
      </c>
      <c r="H451">
        <v>5020</v>
      </c>
      <c r="I451">
        <v>4216.8</v>
      </c>
      <c r="J451">
        <v>803.19999999999902</v>
      </c>
      <c r="K451">
        <f>Table1[[#This Row],[Liters_Sold]]</f>
        <v>4016</v>
      </c>
      <c r="L451">
        <f>Table1[[#This Row],[Delivery volume]]*0.05</f>
        <v>200.8</v>
      </c>
      <c r="M451" s="16">
        <f>Table1[[#This Row],[Delivery Cost]]/Table1[[#This Row],[Revenue]]</f>
        <v>0.04</v>
      </c>
      <c r="N451" t="str">
        <f t="shared" si="7"/>
        <v>Oct</v>
      </c>
    </row>
    <row r="452" spans="1:14" x14ac:dyDescent="0.2">
      <c r="A452" s="1">
        <v>45387</v>
      </c>
      <c r="B452" t="s">
        <v>26</v>
      </c>
      <c r="C452" t="s">
        <v>11</v>
      </c>
      <c r="D452" t="s">
        <v>12</v>
      </c>
      <c r="E452">
        <v>3840</v>
      </c>
      <c r="F452">
        <v>1.25</v>
      </c>
      <c r="G452">
        <v>1.05</v>
      </c>
      <c r="H452">
        <v>4800</v>
      </c>
      <c r="I452">
        <v>4032</v>
      </c>
      <c r="J452">
        <v>768</v>
      </c>
      <c r="K452">
        <f>Table1[[#This Row],[Liters_Sold]]</f>
        <v>3840</v>
      </c>
      <c r="L452">
        <f>Table1[[#This Row],[Delivery volume]]*0.05</f>
        <v>192</v>
      </c>
      <c r="M452" s="16">
        <f>Table1[[#This Row],[Delivery Cost]]/Table1[[#This Row],[Revenue]]</f>
        <v>0.04</v>
      </c>
      <c r="N452" t="str">
        <f t="shared" si="7"/>
        <v>Apr</v>
      </c>
    </row>
    <row r="453" spans="1:14" x14ac:dyDescent="0.2">
      <c r="A453" s="1">
        <v>45417</v>
      </c>
      <c r="B453" t="s">
        <v>15</v>
      </c>
      <c r="C453" t="s">
        <v>17</v>
      </c>
      <c r="D453" t="s">
        <v>12</v>
      </c>
      <c r="E453">
        <v>553</v>
      </c>
      <c r="F453">
        <v>1.25</v>
      </c>
      <c r="G453">
        <v>1.05</v>
      </c>
      <c r="H453">
        <v>691.25</v>
      </c>
      <c r="I453">
        <v>580.65</v>
      </c>
      <c r="J453">
        <v>110.6</v>
      </c>
      <c r="K453">
        <f>Table1[[#This Row],[Liters_Sold]]</f>
        <v>553</v>
      </c>
      <c r="L453">
        <f>Table1[[#This Row],[Delivery volume]]*0.05</f>
        <v>27.650000000000002</v>
      </c>
      <c r="M453" s="16">
        <f>Table1[[#This Row],[Delivery Cost]]/Table1[[#This Row],[Revenue]]</f>
        <v>0.04</v>
      </c>
      <c r="N453" t="str">
        <f t="shared" si="7"/>
        <v>May</v>
      </c>
    </row>
    <row r="454" spans="1:14" x14ac:dyDescent="0.2">
      <c r="A454" s="1">
        <v>45409</v>
      </c>
      <c r="B454" t="s">
        <v>15</v>
      </c>
      <c r="C454" t="s">
        <v>20</v>
      </c>
      <c r="D454" t="s">
        <v>12</v>
      </c>
      <c r="E454">
        <v>3075</v>
      </c>
      <c r="F454">
        <v>1.25</v>
      </c>
      <c r="G454">
        <v>1.05</v>
      </c>
      <c r="H454">
        <v>3843.75</v>
      </c>
      <c r="I454">
        <v>3228.75</v>
      </c>
      <c r="J454">
        <v>615</v>
      </c>
      <c r="K454">
        <f>Table1[[#This Row],[Liters_Sold]]</f>
        <v>3075</v>
      </c>
      <c r="L454">
        <f>Table1[[#This Row],[Delivery volume]]*0.05</f>
        <v>153.75</v>
      </c>
      <c r="M454" s="16">
        <f>Table1[[#This Row],[Delivery Cost]]/Table1[[#This Row],[Revenue]]</f>
        <v>0.04</v>
      </c>
      <c r="N454" t="str">
        <f t="shared" si="7"/>
        <v>Apr</v>
      </c>
    </row>
    <row r="455" spans="1:14" x14ac:dyDescent="0.2">
      <c r="A455" s="1">
        <v>45339</v>
      </c>
      <c r="B455" t="s">
        <v>24</v>
      </c>
      <c r="C455" t="s">
        <v>17</v>
      </c>
      <c r="D455" t="s">
        <v>18</v>
      </c>
      <c r="E455">
        <v>4091</v>
      </c>
      <c r="F455">
        <v>1.2</v>
      </c>
      <c r="G455">
        <v>1</v>
      </c>
      <c r="H455">
        <v>4909.2</v>
      </c>
      <c r="I455">
        <v>4091</v>
      </c>
      <c r="J455">
        <v>818.19999999999902</v>
      </c>
      <c r="K455">
        <f>Table1[[#This Row],[Liters_Sold]]</f>
        <v>4091</v>
      </c>
      <c r="L455">
        <f>Table1[[#This Row],[Delivery volume]]*0.05</f>
        <v>204.55</v>
      </c>
      <c r="M455" s="16">
        <f>Table1[[#This Row],[Delivery Cost]]/Table1[[#This Row],[Revenue]]</f>
        <v>4.1666666666666671E-2</v>
      </c>
      <c r="N455" t="str">
        <f t="shared" si="7"/>
        <v>Feb</v>
      </c>
    </row>
    <row r="456" spans="1:14" x14ac:dyDescent="0.2">
      <c r="A456" s="1">
        <v>45380</v>
      </c>
      <c r="B456" t="s">
        <v>28</v>
      </c>
      <c r="C456" t="s">
        <v>29</v>
      </c>
      <c r="D456" t="s">
        <v>12</v>
      </c>
      <c r="E456">
        <v>1115</v>
      </c>
      <c r="F456">
        <v>1.25</v>
      </c>
      <c r="G456">
        <v>1.05</v>
      </c>
      <c r="H456">
        <v>1393.75</v>
      </c>
      <c r="I456">
        <v>1170.75</v>
      </c>
      <c r="J456">
        <v>223</v>
      </c>
      <c r="K456">
        <f>Table1[[#This Row],[Liters_Sold]]</f>
        <v>1115</v>
      </c>
      <c r="L456">
        <f>Table1[[#This Row],[Delivery volume]]*0.05</f>
        <v>55.75</v>
      </c>
      <c r="M456" s="16">
        <f>Table1[[#This Row],[Delivery Cost]]/Table1[[#This Row],[Revenue]]</f>
        <v>0.04</v>
      </c>
      <c r="N456" t="str">
        <f t="shared" si="7"/>
        <v>Mar</v>
      </c>
    </row>
    <row r="457" spans="1:14" x14ac:dyDescent="0.2">
      <c r="A457" s="1">
        <v>45528</v>
      </c>
      <c r="B457" t="s">
        <v>27</v>
      </c>
      <c r="C457" t="s">
        <v>23</v>
      </c>
      <c r="D457" t="s">
        <v>14</v>
      </c>
      <c r="E457">
        <v>5678</v>
      </c>
      <c r="F457">
        <v>0.9</v>
      </c>
      <c r="G457">
        <v>0.7</v>
      </c>
      <c r="H457">
        <v>5110.2</v>
      </c>
      <c r="I457">
        <v>3974.6</v>
      </c>
      <c r="J457">
        <v>1135.5999999999999</v>
      </c>
      <c r="K457">
        <f>Table1[[#This Row],[Liters_Sold]]</f>
        <v>5678</v>
      </c>
      <c r="L457">
        <f>Table1[[#This Row],[Delivery volume]]*0.05</f>
        <v>283.90000000000003</v>
      </c>
      <c r="M457" s="16">
        <f>Table1[[#This Row],[Delivery Cost]]/Table1[[#This Row],[Revenue]]</f>
        <v>5.5555555555555566E-2</v>
      </c>
      <c r="N457" t="str">
        <f t="shared" si="7"/>
        <v>Aug</v>
      </c>
    </row>
    <row r="458" spans="1:14" x14ac:dyDescent="0.2">
      <c r="A458" s="1">
        <v>45563</v>
      </c>
      <c r="B458" t="s">
        <v>16</v>
      </c>
      <c r="C458" t="s">
        <v>11</v>
      </c>
      <c r="D458" t="s">
        <v>14</v>
      </c>
      <c r="E458">
        <v>1454</v>
      </c>
      <c r="F458">
        <v>0.9</v>
      </c>
      <c r="G458">
        <v>0.7</v>
      </c>
      <c r="H458">
        <v>1308.5999999999999</v>
      </c>
      <c r="I458">
        <v>1017.8</v>
      </c>
      <c r="J458">
        <v>290.8</v>
      </c>
      <c r="K458">
        <f>Table1[[#This Row],[Liters_Sold]]</f>
        <v>1454</v>
      </c>
      <c r="L458">
        <f>Table1[[#This Row],[Delivery volume]]*0.05</f>
        <v>72.7</v>
      </c>
      <c r="M458" s="16">
        <f>Table1[[#This Row],[Delivery Cost]]/Table1[[#This Row],[Revenue]]</f>
        <v>5.5555555555555559E-2</v>
      </c>
      <c r="N458" t="str">
        <f t="shared" si="7"/>
        <v>Sep</v>
      </c>
    </row>
    <row r="459" spans="1:14" x14ac:dyDescent="0.2">
      <c r="A459" s="1">
        <v>45480</v>
      </c>
      <c r="B459" t="s">
        <v>22</v>
      </c>
      <c r="C459" t="s">
        <v>11</v>
      </c>
      <c r="D459" t="s">
        <v>18</v>
      </c>
      <c r="E459">
        <v>2933</v>
      </c>
      <c r="F459">
        <v>1.2</v>
      </c>
      <c r="G459">
        <v>1</v>
      </c>
      <c r="H459">
        <v>3519.6</v>
      </c>
      <c r="I459">
        <v>2933</v>
      </c>
      <c r="J459">
        <v>586.599999999999</v>
      </c>
      <c r="K459">
        <f>Table1[[#This Row],[Liters_Sold]]</f>
        <v>2933</v>
      </c>
      <c r="L459">
        <f>Table1[[#This Row],[Delivery volume]]*0.05</f>
        <v>146.65</v>
      </c>
      <c r="M459" s="16">
        <f>Table1[[#This Row],[Delivery Cost]]/Table1[[#This Row],[Revenue]]</f>
        <v>4.1666666666666671E-2</v>
      </c>
      <c r="N459" t="str">
        <f t="shared" si="7"/>
        <v>Jul</v>
      </c>
    </row>
    <row r="460" spans="1:14" x14ac:dyDescent="0.2">
      <c r="A460" s="1">
        <v>45483</v>
      </c>
      <c r="B460" t="s">
        <v>24</v>
      </c>
      <c r="C460" t="s">
        <v>23</v>
      </c>
      <c r="D460" t="s">
        <v>18</v>
      </c>
      <c r="E460">
        <v>2129</v>
      </c>
      <c r="F460">
        <v>1.2</v>
      </c>
      <c r="G460">
        <v>1</v>
      </c>
      <c r="H460">
        <v>2554.7999999999902</v>
      </c>
      <c r="I460">
        <v>2129</v>
      </c>
      <c r="J460">
        <v>425.79999999999899</v>
      </c>
      <c r="K460">
        <f>Table1[[#This Row],[Liters_Sold]]</f>
        <v>2129</v>
      </c>
      <c r="L460">
        <f>Table1[[#This Row],[Delivery volume]]*0.05</f>
        <v>106.45</v>
      </c>
      <c r="M460" s="16">
        <f>Table1[[#This Row],[Delivery Cost]]/Table1[[#This Row],[Revenue]]</f>
        <v>4.1666666666666831E-2</v>
      </c>
      <c r="N460" t="str">
        <f t="shared" si="7"/>
        <v>Jul</v>
      </c>
    </row>
    <row r="461" spans="1:14" x14ac:dyDescent="0.2">
      <c r="A461" s="1">
        <v>45360</v>
      </c>
      <c r="B461" t="s">
        <v>27</v>
      </c>
      <c r="C461" t="s">
        <v>23</v>
      </c>
      <c r="D461" t="s">
        <v>14</v>
      </c>
      <c r="E461">
        <v>3281</v>
      </c>
      <c r="F461">
        <v>0.9</v>
      </c>
      <c r="G461">
        <v>0.7</v>
      </c>
      <c r="H461">
        <v>2952.9</v>
      </c>
      <c r="I461">
        <v>2296.6999999999998</v>
      </c>
      <c r="J461">
        <v>656.2</v>
      </c>
      <c r="K461">
        <f>Table1[[#This Row],[Liters_Sold]]</f>
        <v>3281</v>
      </c>
      <c r="L461">
        <f>Table1[[#This Row],[Delivery volume]]*0.05</f>
        <v>164.05</v>
      </c>
      <c r="M461" s="16">
        <f>Table1[[#This Row],[Delivery Cost]]/Table1[[#This Row],[Revenue]]</f>
        <v>5.5555555555555559E-2</v>
      </c>
      <c r="N461" t="str">
        <f t="shared" si="7"/>
        <v>Mar</v>
      </c>
    </row>
    <row r="462" spans="1:14" x14ac:dyDescent="0.2">
      <c r="A462" s="1">
        <v>45569</v>
      </c>
      <c r="B462" t="s">
        <v>26</v>
      </c>
      <c r="C462" t="s">
        <v>29</v>
      </c>
      <c r="D462" t="s">
        <v>12</v>
      </c>
      <c r="E462">
        <v>1149</v>
      </c>
      <c r="F462">
        <v>1.25</v>
      </c>
      <c r="G462">
        <v>1.05</v>
      </c>
      <c r="H462">
        <v>1436.25</v>
      </c>
      <c r="I462">
        <v>1206.45</v>
      </c>
      <c r="J462">
        <v>229.79999999999899</v>
      </c>
      <c r="K462">
        <f>Table1[[#This Row],[Liters_Sold]]</f>
        <v>1149</v>
      </c>
      <c r="L462">
        <f>Table1[[#This Row],[Delivery volume]]*0.05</f>
        <v>57.45</v>
      </c>
      <c r="M462" s="16">
        <f>Table1[[#This Row],[Delivery Cost]]/Table1[[#This Row],[Revenue]]</f>
        <v>0.04</v>
      </c>
      <c r="N462" t="str">
        <f t="shared" si="7"/>
        <v>Oct</v>
      </c>
    </row>
    <row r="463" spans="1:14" x14ac:dyDescent="0.2">
      <c r="A463" s="1">
        <v>45640</v>
      </c>
      <c r="B463" t="s">
        <v>13</v>
      </c>
      <c r="C463" t="s">
        <v>17</v>
      </c>
      <c r="D463" t="s">
        <v>18</v>
      </c>
      <c r="E463">
        <v>2847</v>
      </c>
      <c r="F463">
        <v>1.2</v>
      </c>
      <c r="G463">
        <v>1</v>
      </c>
      <c r="H463">
        <v>3416.4</v>
      </c>
      <c r="I463">
        <v>2847</v>
      </c>
      <c r="J463">
        <v>569.4</v>
      </c>
      <c r="K463">
        <f>Table1[[#This Row],[Liters_Sold]]</f>
        <v>2847</v>
      </c>
      <c r="L463">
        <f>Table1[[#This Row],[Delivery volume]]*0.05</f>
        <v>142.35</v>
      </c>
      <c r="M463" s="16">
        <f>Table1[[#This Row],[Delivery Cost]]/Table1[[#This Row],[Revenue]]</f>
        <v>4.1666666666666664E-2</v>
      </c>
      <c r="N463" t="str">
        <f t="shared" si="7"/>
        <v>Dec</v>
      </c>
    </row>
    <row r="464" spans="1:14" x14ac:dyDescent="0.2">
      <c r="A464" s="1">
        <v>45538</v>
      </c>
      <c r="B464" t="s">
        <v>31</v>
      </c>
      <c r="C464" t="s">
        <v>11</v>
      </c>
      <c r="D464" t="s">
        <v>12</v>
      </c>
      <c r="E464">
        <v>4990</v>
      </c>
      <c r="F464">
        <v>1.25</v>
      </c>
      <c r="G464">
        <v>1.05</v>
      </c>
      <c r="H464">
        <v>6237.5</v>
      </c>
      <c r="I464">
        <v>5239.5</v>
      </c>
      <c r="J464">
        <v>998</v>
      </c>
      <c r="K464">
        <f>Table1[[#This Row],[Liters_Sold]]</f>
        <v>4990</v>
      </c>
      <c r="L464">
        <f>Table1[[#This Row],[Delivery volume]]*0.05</f>
        <v>249.5</v>
      </c>
      <c r="M464" s="16">
        <f>Table1[[#This Row],[Delivery Cost]]/Table1[[#This Row],[Revenue]]</f>
        <v>0.04</v>
      </c>
      <c r="N464" t="str">
        <f t="shared" si="7"/>
        <v>Sep</v>
      </c>
    </row>
    <row r="465" spans="1:14" x14ac:dyDescent="0.2">
      <c r="A465" s="1">
        <v>45367</v>
      </c>
      <c r="B465" t="s">
        <v>22</v>
      </c>
      <c r="C465" t="s">
        <v>29</v>
      </c>
      <c r="D465" t="s">
        <v>18</v>
      </c>
      <c r="E465">
        <v>3778</v>
      </c>
      <c r="F465">
        <v>1.2</v>
      </c>
      <c r="G465">
        <v>1</v>
      </c>
      <c r="H465">
        <v>4533.5999999999904</v>
      </c>
      <c r="I465">
        <v>3778</v>
      </c>
      <c r="J465">
        <v>755.599999999999</v>
      </c>
      <c r="K465">
        <f>Table1[[#This Row],[Liters_Sold]]</f>
        <v>3778</v>
      </c>
      <c r="L465">
        <f>Table1[[#This Row],[Delivery volume]]*0.05</f>
        <v>188.9</v>
      </c>
      <c r="M465" s="16">
        <f>Table1[[#This Row],[Delivery Cost]]/Table1[[#This Row],[Revenue]]</f>
        <v>4.1666666666666755E-2</v>
      </c>
      <c r="N465" t="str">
        <f t="shared" si="7"/>
        <v>Mar</v>
      </c>
    </row>
    <row r="466" spans="1:14" x14ac:dyDescent="0.2">
      <c r="A466" s="1">
        <v>45445</v>
      </c>
      <c r="B466" t="s">
        <v>24</v>
      </c>
      <c r="C466" t="s">
        <v>17</v>
      </c>
      <c r="D466" t="s">
        <v>12</v>
      </c>
      <c r="E466">
        <v>5955</v>
      </c>
      <c r="F466">
        <v>1.25</v>
      </c>
      <c r="G466">
        <v>1.05</v>
      </c>
      <c r="H466">
        <v>7443.75</v>
      </c>
      <c r="I466">
        <v>6252.75</v>
      </c>
      <c r="J466">
        <v>1191</v>
      </c>
      <c r="K466">
        <f>Table1[[#This Row],[Liters_Sold]]</f>
        <v>5955</v>
      </c>
      <c r="L466">
        <f>Table1[[#This Row],[Delivery volume]]*0.05</f>
        <v>297.75</v>
      </c>
      <c r="M466" s="16">
        <f>Table1[[#This Row],[Delivery Cost]]/Table1[[#This Row],[Revenue]]</f>
        <v>0.04</v>
      </c>
      <c r="N466" t="str">
        <f t="shared" si="7"/>
        <v>Jun</v>
      </c>
    </row>
    <row r="467" spans="1:14" x14ac:dyDescent="0.2">
      <c r="A467" s="1">
        <v>45435</v>
      </c>
      <c r="B467" t="s">
        <v>21</v>
      </c>
      <c r="C467" t="s">
        <v>29</v>
      </c>
      <c r="D467" t="s">
        <v>14</v>
      </c>
      <c r="E467">
        <v>3140</v>
      </c>
      <c r="F467">
        <v>0.9</v>
      </c>
      <c r="G467">
        <v>0.7</v>
      </c>
      <c r="H467">
        <v>2826</v>
      </c>
      <c r="I467">
        <v>2198</v>
      </c>
      <c r="J467">
        <v>628</v>
      </c>
      <c r="K467">
        <f>Table1[[#This Row],[Liters_Sold]]</f>
        <v>3140</v>
      </c>
      <c r="L467">
        <f>Table1[[#This Row],[Delivery volume]]*0.05</f>
        <v>157</v>
      </c>
      <c r="M467" s="16">
        <f>Table1[[#This Row],[Delivery Cost]]/Table1[[#This Row],[Revenue]]</f>
        <v>5.5555555555555552E-2</v>
      </c>
      <c r="N467" t="str">
        <f t="shared" si="7"/>
        <v>May</v>
      </c>
    </row>
    <row r="468" spans="1:14" x14ac:dyDescent="0.2">
      <c r="A468" s="1">
        <v>45377</v>
      </c>
      <c r="B468" t="s">
        <v>27</v>
      </c>
      <c r="C468" t="s">
        <v>11</v>
      </c>
      <c r="D468" t="s">
        <v>14</v>
      </c>
      <c r="E468">
        <v>4301</v>
      </c>
      <c r="F468">
        <v>0.9</v>
      </c>
      <c r="G468">
        <v>0.7</v>
      </c>
      <c r="H468">
        <v>3870.9</v>
      </c>
      <c r="I468">
        <v>3010.7</v>
      </c>
      <c r="J468">
        <v>860.2</v>
      </c>
      <c r="K468">
        <f>Table1[[#This Row],[Liters_Sold]]</f>
        <v>4301</v>
      </c>
      <c r="L468">
        <f>Table1[[#This Row],[Delivery volume]]*0.05</f>
        <v>215.05</v>
      </c>
      <c r="M468" s="16">
        <f>Table1[[#This Row],[Delivery Cost]]/Table1[[#This Row],[Revenue]]</f>
        <v>5.5555555555555559E-2</v>
      </c>
      <c r="N468" t="str">
        <f t="shared" si="7"/>
        <v>Mar</v>
      </c>
    </row>
    <row r="469" spans="1:14" x14ac:dyDescent="0.2">
      <c r="A469" s="1">
        <v>45476</v>
      </c>
      <c r="B469" t="s">
        <v>31</v>
      </c>
      <c r="C469" t="s">
        <v>23</v>
      </c>
      <c r="D469" t="s">
        <v>12</v>
      </c>
      <c r="E469">
        <v>3061</v>
      </c>
      <c r="F469">
        <v>1.25</v>
      </c>
      <c r="G469">
        <v>1.05</v>
      </c>
      <c r="H469">
        <v>3826.25</v>
      </c>
      <c r="I469">
        <v>3214.05</v>
      </c>
      <c r="J469">
        <v>612.19999999999902</v>
      </c>
      <c r="K469">
        <f>Table1[[#This Row],[Liters_Sold]]</f>
        <v>3061</v>
      </c>
      <c r="L469">
        <f>Table1[[#This Row],[Delivery volume]]*0.05</f>
        <v>153.05000000000001</v>
      </c>
      <c r="M469" s="16">
        <f>Table1[[#This Row],[Delivery Cost]]/Table1[[#This Row],[Revenue]]</f>
        <v>0.04</v>
      </c>
      <c r="N469" t="str">
        <f t="shared" si="7"/>
        <v>Jul</v>
      </c>
    </row>
    <row r="470" spans="1:14" x14ac:dyDescent="0.2">
      <c r="A470" s="1">
        <v>45576</v>
      </c>
      <c r="B470" t="s">
        <v>22</v>
      </c>
      <c r="C470" t="s">
        <v>23</v>
      </c>
      <c r="D470" t="s">
        <v>12</v>
      </c>
      <c r="E470">
        <v>3749</v>
      </c>
      <c r="F470">
        <v>1.25</v>
      </c>
      <c r="G470">
        <v>1.05</v>
      </c>
      <c r="H470">
        <v>4686.25</v>
      </c>
      <c r="I470">
        <v>3936.45</v>
      </c>
      <c r="J470">
        <v>749.79999999999905</v>
      </c>
      <c r="K470">
        <f>Table1[[#This Row],[Liters_Sold]]</f>
        <v>3749</v>
      </c>
      <c r="L470">
        <f>Table1[[#This Row],[Delivery volume]]*0.05</f>
        <v>187.45000000000002</v>
      </c>
      <c r="M470" s="16">
        <f>Table1[[#This Row],[Delivery Cost]]/Table1[[#This Row],[Revenue]]</f>
        <v>0.04</v>
      </c>
      <c r="N470" t="str">
        <f t="shared" si="7"/>
        <v>Oct</v>
      </c>
    </row>
    <row r="471" spans="1:14" x14ac:dyDescent="0.2">
      <c r="A471" s="1">
        <v>45511</v>
      </c>
      <c r="B471" t="s">
        <v>26</v>
      </c>
      <c r="C471" t="s">
        <v>17</v>
      </c>
      <c r="D471" t="s">
        <v>14</v>
      </c>
      <c r="E471">
        <v>870</v>
      </c>
      <c r="F471">
        <v>0.9</v>
      </c>
      <c r="G471">
        <v>0.7</v>
      </c>
      <c r="H471">
        <v>783</v>
      </c>
      <c r="I471">
        <v>609</v>
      </c>
      <c r="J471">
        <v>174</v>
      </c>
      <c r="K471">
        <f>Table1[[#This Row],[Liters_Sold]]</f>
        <v>870</v>
      </c>
      <c r="L471">
        <f>Table1[[#This Row],[Delivery volume]]*0.05</f>
        <v>43.5</v>
      </c>
      <c r="M471" s="16">
        <f>Table1[[#This Row],[Delivery Cost]]/Table1[[#This Row],[Revenue]]</f>
        <v>5.5555555555555552E-2</v>
      </c>
      <c r="N471" t="str">
        <f t="shared" si="7"/>
        <v>Aug</v>
      </c>
    </row>
    <row r="472" spans="1:14" x14ac:dyDescent="0.2">
      <c r="A472" s="1">
        <v>45360</v>
      </c>
      <c r="B472" t="s">
        <v>30</v>
      </c>
      <c r="C472" t="s">
        <v>20</v>
      </c>
      <c r="D472" t="s">
        <v>12</v>
      </c>
      <c r="E472">
        <v>1357</v>
      </c>
      <c r="F472">
        <v>1.25</v>
      </c>
      <c r="G472">
        <v>1.05</v>
      </c>
      <c r="H472">
        <v>1696.25</v>
      </c>
      <c r="I472">
        <v>1424.85</v>
      </c>
      <c r="J472">
        <v>271.39999999999901</v>
      </c>
      <c r="K472">
        <f>Table1[[#This Row],[Liters_Sold]]</f>
        <v>1357</v>
      </c>
      <c r="L472">
        <f>Table1[[#This Row],[Delivery volume]]*0.05</f>
        <v>67.850000000000009</v>
      </c>
      <c r="M472" s="16">
        <f>Table1[[#This Row],[Delivery Cost]]/Table1[[#This Row],[Revenue]]</f>
        <v>4.0000000000000008E-2</v>
      </c>
      <c r="N472" t="str">
        <f t="shared" si="7"/>
        <v>Mar</v>
      </c>
    </row>
    <row r="473" spans="1:14" x14ac:dyDescent="0.2">
      <c r="A473" s="1">
        <v>45338</v>
      </c>
      <c r="B473" t="s">
        <v>28</v>
      </c>
      <c r="C473" t="s">
        <v>17</v>
      </c>
      <c r="D473" t="s">
        <v>14</v>
      </c>
      <c r="E473">
        <v>5386</v>
      </c>
      <c r="F473">
        <v>0.9</v>
      </c>
      <c r="G473">
        <v>0.7</v>
      </c>
      <c r="H473">
        <v>4847.3999999999996</v>
      </c>
      <c r="I473">
        <v>3770.2</v>
      </c>
      <c r="J473">
        <v>1077.2</v>
      </c>
      <c r="K473">
        <f>Table1[[#This Row],[Liters_Sold]]</f>
        <v>5386</v>
      </c>
      <c r="L473">
        <f>Table1[[#This Row],[Delivery volume]]*0.05</f>
        <v>269.3</v>
      </c>
      <c r="M473" s="16">
        <f>Table1[[#This Row],[Delivery Cost]]/Table1[[#This Row],[Revenue]]</f>
        <v>5.5555555555555559E-2</v>
      </c>
      <c r="N473" t="str">
        <f t="shared" si="7"/>
        <v>Feb</v>
      </c>
    </row>
    <row r="474" spans="1:14" x14ac:dyDescent="0.2">
      <c r="A474" s="1">
        <v>45385</v>
      </c>
      <c r="B474" t="s">
        <v>27</v>
      </c>
      <c r="C474" t="s">
        <v>20</v>
      </c>
      <c r="D474" t="s">
        <v>18</v>
      </c>
      <c r="E474">
        <v>5253</v>
      </c>
      <c r="F474">
        <v>1.2</v>
      </c>
      <c r="G474">
        <v>1</v>
      </c>
      <c r="H474">
        <v>6303.5999999999904</v>
      </c>
      <c r="I474">
        <v>5253</v>
      </c>
      <c r="J474">
        <v>1050.5999999999899</v>
      </c>
      <c r="K474">
        <f>Table1[[#This Row],[Liters_Sold]]</f>
        <v>5253</v>
      </c>
      <c r="L474">
        <f>Table1[[#This Row],[Delivery volume]]*0.05</f>
        <v>262.65000000000003</v>
      </c>
      <c r="M474" s="16">
        <f>Table1[[#This Row],[Delivery Cost]]/Table1[[#This Row],[Revenue]]</f>
        <v>4.1666666666666734E-2</v>
      </c>
      <c r="N474" t="str">
        <f t="shared" si="7"/>
        <v>Apr</v>
      </c>
    </row>
    <row r="475" spans="1:14" x14ac:dyDescent="0.2">
      <c r="A475" s="1">
        <v>45529</v>
      </c>
      <c r="B475" t="s">
        <v>26</v>
      </c>
      <c r="C475" t="s">
        <v>29</v>
      </c>
      <c r="D475" t="s">
        <v>12</v>
      </c>
      <c r="E475">
        <v>5988</v>
      </c>
      <c r="F475">
        <v>1.25</v>
      </c>
      <c r="G475">
        <v>1.05</v>
      </c>
      <c r="H475">
        <v>7485</v>
      </c>
      <c r="I475">
        <v>6287.4</v>
      </c>
      <c r="J475">
        <v>1197.5999999999899</v>
      </c>
      <c r="K475">
        <f>Table1[[#This Row],[Liters_Sold]]</f>
        <v>5988</v>
      </c>
      <c r="L475">
        <f>Table1[[#This Row],[Delivery volume]]*0.05</f>
        <v>299.40000000000003</v>
      </c>
      <c r="M475" s="16">
        <f>Table1[[#This Row],[Delivery Cost]]/Table1[[#This Row],[Revenue]]</f>
        <v>4.0000000000000008E-2</v>
      </c>
      <c r="N475" t="str">
        <f t="shared" si="7"/>
        <v>Aug</v>
      </c>
    </row>
    <row r="476" spans="1:14" x14ac:dyDescent="0.2">
      <c r="A476" s="1">
        <v>45495</v>
      </c>
      <c r="B476" t="s">
        <v>22</v>
      </c>
      <c r="C476" t="s">
        <v>29</v>
      </c>
      <c r="D476" t="s">
        <v>12</v>
      </c>
      <c r="E476">
        <v>883</v>
      </c>
      <c r="F476">
        <v>1.25</v>
      </c>
      <c r="G476">
        <v>1.05</v>
      </c>
      <c r="H476">
        <v>1103.75</v>
      </c>
      <c r="I476">
        <v>927.15</v>
      </c>
      <c r="J476">
        <v>176.599999999999</v>
      </c>
      <c r="K476">
        <f>Table1[[#This Row],[Liters_Sold]]</f>
        <v>883</v>
      </c>
      <c r="L476">
        <f>Table1[[#This Row],[Delivery volume]]*0.05</f>
        <v>44.150000000000006</v>
      </c>
      <c r="M476" s="16">
        <f>Table1[[#This Row],[Delivery Cost]]/Table1[[#This Row],[Revenue]]</f>
        <v>4.0000000000000008E-2</v>
      </c>
      <c r="N476" t="str">
        <f t="shared" si="7"/>
        <v>Jul</v>
      </c>
    </row>
    <row r="477" spans="1:14" x14ac:dyDescent="0.2">
      <c r="A477" s="1">
        <v>45509</v>
      </c>
      <c r="B477" t="s">
        <v>27</v>
      </c>
      <c r="C477" t="s">
        <v>11</v>
      </c>
      <c r="D477" t="s">
        <v>12</v>
      </c>
      <c r="E477">
        <v>4377</v>
      </c>
      <c r="F477">
        <v>1.25</v>
      </c>
      <c r="G477">
        <v>1.05</v>
      </c>
      <c r="H477">
        <v>5471.25</v>
      </c>
      <c r="I477">
        <v>4595.8500000000004</v>
      </c>
      <c r="J477">
        <v>875.39999999999895</v>
      </c>
      <c r="K477">
        <f>Table1[[#This Row],[Liters_Sold]]</f>
        <v>4377</v>
      </c>
      <c r="L477">
        <f>Table1[[#This Row],[Delivery volume]]*0.05</f>
        <v>218.85000000000002</v>
      </c>
      <c r="M477" s="16">
        <f>Table1[[#This Row],[Delivery Cost]]/Table1[[#This Row],[Revenue]]</f>
        <v>0.04</v>
      </c>
      <c r="N477" t="str">
        <f t="shared" si="7"/>
        <v>Aug</v>
      </c>
    </row>
    <row r="478" spans="1:14" x14ac:dyDescent="0.2">
      <c r="A478" s="1">
        <v>45632</v>
      </c>
      <c r="B478" t="s">
        <v>16</v>
      </c>
      <c r="C478" t="s">
        <v>20</v>
      </c>
      <c r="D478" t="s">
        <v>18</v>
      </c>
      <c r="E478">
        <v>3052</v>
      </c>
      <c r="F478">
        <v>1.2</v>
      </c>
      <c r="G478">
        <v>1</v>
      </c>
      <c r="H478">
        <v>3662.4</v>
      </c>
      <c r="I478">
        <v>3052</v>
      </c>
      <c r="J478">
        <v>610.4</v>
      </c>
      <c r="K478">
        <f>Table1[[#This Row],[Liters_Sold]]</f>
        <v>3052</v>
      </c>
      <c r="L478">
        <f>Table1[[#This Row],[Delivery volume]]*0.05</f>
        <v>152.6</v>
      </c>
      <c r="M478" s="16">
        <f>Table1[[#This Row],[Delivery Cost]]/Table1[[#This Row],[Revenue]]</f>
        <v>4.1666666666666664E-2</v>
      </c>
      <c r="N478" t="str">
        <f t="shared" si="7"/>
        <v>Dec</v>
      </c>
    </row>
    <row r="479" spans="1:14" x14ac:dyDescent="0.2">
      <c r="A479" s="1">
        <v>45330</v>
      </c>
      <c r="B479" t="s">
        <v>31</v>
      </c>
      <c r="C479" t="s">
        <v>11</v>
      </c>
      <c r="D479" t="s">
        <v>12</v>
      </c>
      <c r="E479">
        <v>4834</v>
      </c>
      <c r="F479">
        <v>1.25</v>
      </c>
      <c r="G479">
        <v>1.05</v>
      </c>
      <c r="H479">
        <v>6042.5</v>
      </c>
      <c r="I479">
        <v>5075.7</v>
      </c>
      <c r="J479">
        <v>966.8</v>
      </c>
      <c r="K479">
        <f>Table1[[#This Row],[Liters_Sold]]</f>
        <v>4834</v>
      </c>
      <c r="L479">
        <f>Table1[[#This Row],[Delivery volume]]*0.05</f>
        <v>241.70000000000002</v>
      </c>
      <c r="M479" s="16">
        <f>Table1[[#This Row],[Delivery Cost]]/Table1[[#This Row],[Revenue]]</f>
        <v>0.04</v>
      </c>
      <c r="N479" t="str">
        <f t="shared" si="7"/>
        <v>Feb</v>
      </c>
    </row>
    <row r="480" spans="1:14" x14ac:dyDescent="0.2">
      <c r="A480" s="1">
        <v>45391</v>
      </c>
      <c r="B480" t="s">
        <v>10</v>
      </c>
      <c r="C480" t="s">
        <v>23</v>
      </c>
      <c r="D480" t="s">
        <v>18</v>
      </c>
      <c r="E480">
        <v>4790</v>
      </c>
      <c r="F480">
        <v>1.2</v>
      </c>
      <c r="G480">
        <v>1</v>
      </c>
      <c r="H480">
        <v>5748</v>
      </c>
      <c r="I480">
        <v>4790</v>
      </c>
      <c r="J480">
        <v>958</v>
      </c>
      <c r="K480">
        <f>Table1[[#This Row],[Liters_Sold]]</f>
        <v>4790</v>
      </c>
      <c r="L480">
        <f>Table1[[#This Row],[Delivery volume]]*0.05</f>
        <v>239.5</v>
      </c>
      <c r="M480" s="16">
        <f>Table1[[#This Row],[Delivery Cost]]/Table1[[#This Row],[Revenue]]</f>
        <v>4.1666666666666664E-2</v>
      </c>
      <c r="N480" t="str">
        <f t="shared" si="7"/>
        <v>Apr</v>
      </c>
    </row>
    <row r="481" spans="1:14" x14ac:dyDescent="0.2">
      <c r="A481" s="1">
        <v>45580</v>
      </c>
      <c r="B481" t="s">
        <v>22</v>
      </c>
      <c r="C481" t="s">
        <v>20</v>
      </c>
      <c r="D481" t="s">
        <v>12</v>
      </c>
      <c r="E481">
        <v>3225</v>
      </c>
      <c r="F481">
        <v>1.25</v>
      </c>
      <c r="G481">
        <v>1.05</v>
      </c>
      <c r="H481">
        <v>4031.25</v>
      </c>
      <c r="I481">
        <v>3386.25</v>
      </c>
      <c r="J481">
        <v>645</v>
      </c>
      <c r="K481">
        <f>Table1[[#This Row],[Liters_Sold]]</f>
        <v>3225</v>
      </c>
      <c r="L481">
        <f>Table1[[#This Row],[Delivery volume]]*0.05</f>
        <v>161.25</v>
      </c>
      <c r="M481" s="16">
        <f>Table1[[#This Row],[Delivery Cost]]/Table1[[#This Row],[Revenue]]</f>
        <v>0.04</v>
      </c>
      <c r="N481" t="str">
        <f t="shared" si="7"/>
        <v>Oct</v>
      </c>
    </row>
    <row r="482" spans="1:14" x14ac:dyDescent="0.2">
      <c r="A482" s="1">
        <v>45545</v>
      </c>
      <c r="B482" t="s">
        <v>16</v>
      </c>
      <c r="C482" t="s">
        <v>17</v>
      </c>
      <c r="D482" t="s">
        <v>18</v>
      </c>
      <c r="E482">
        <v>4534</v>
      </c>
      <c r="F482">
        <v>1.2</v>
      </c>
      <c r="G482">
        <v>1</v>
      </c>
      <c r="H482">
        <v>5440.8</v>
      </c>
      <c r="I482">
        <v>4534</v>
      </c>
      <c r="J482">
        <v>906.8</v>
      </c>
      <c r="K482">
        <f>Table1[[#This Row],[Liters_Sold]]</f>
        <v>4534</v>
      </c>
      <c r="L482">
        <f>Table1[[#This Row],[Delivery volume]]*0.05</f>
        <v>226.70000000000002</v>
      </c>
      <c r="M482" s="16">
        <f>Table1[[#This Row],[Delivery Cost]]/Table1[[#This Row],[Revenue]]</f>
        <v>4.1666666666666671E-2</v>
      </c>
      <c r="N482" t="str">
        <f t="shared" si="7"/>
        <v>Sep</v>
      </c>
    </row>
    <row r="483" spans="1:14" x14ac:dyDescent="0.2">
      <c r="A483" s="1">
        <v>45513</v>
      </c>
      <c r="B483" t="s">
        <v>25</v>
      </c>
      <c r="C483" t="s">
        <v>23</v>
      </c>
      <c r="D483" t="s">
        <v>14</v>
      </c>
      <c r="E483">
        <v>3793</v>
      </c>
      <c r="F483">
        <v>0.9</v>
      </c>
      <c r="G483">
        <v>0.7</v>
      </c>
      <c r="H483">
        <v>3413.7</v>
      </c>
      <c r="I483">
        <v>2655.1</v>
      </c>
      <c r="J483">
        <v>758.6</v>
      </c>
      <c r="K483">
        <f>Table1[[#This Row],[Liters_Sold]]</f>
        <v>3793</v>
      </c>
      <c r="L483">
        <f>Table1[[#This Row],[Delivery volume]]*0.05</f>
        <v>189.65</v>
      </c>
      <c r="M483" s="16">
        <f>Table1[[#This Row],[Delivery Cost]]/Table1[[#This Row],[Revenue]]</f>
        <v>5.5555555555555559E-2</v>
      </c>
      <c r="N483" t="str">
        <f t="shared" si="7"/>
        <v>Aug</v>
      </c>
    </row>
    <row r="484" spans="1:14" x14ac:dyDescent="0.2">
      <c r="A484" s="1">
        <v>45648</v>
      </c>
      <c r="B484" t="s">
        <v>24</v>
      </c>
      <c r="C484" t="s">
        <v>23</v>
      </c>
      <c r="D484" t="s">
        <v>14</v>
      </c>
      <c r="E484">
        <v>5748</v>
      </c>
      <c r="F484">
        <v>0.9</v>
      </c>
      <c r="G484">
        <v>0.7</v>
      </c>
      <c r="H484">
        <v>5173.2</v>
      </c>
      <c r="I484">
        <v>4023.6</v>
      </c>
      <c r="J484">
        <v>1149.5999999999999</v>
      </c>
      <c r="K484">
        <f>Table1[[#This Row],[Liters_Sold]]</f>
        <v>5748</v>
      </c>
      <c r="L484">
        <f>Table1[[#This Row],[Delivery volume]]*0.05</f>
        <v>287.40000000000003</v>
      </c>
      <c r="M484" s="16">
        <f>Table1[[#This Row],[Delivery Cost]]/Table1[[#This Row],[Revenue]]</f>
        <v>5.5555555555555566E-2</v>
      </c>
      <c r="N484" t="str">
        <f t="shared" si="7"/>
        <v>Dec</v>
      </c>
    </row>
    <row r="485" spans="1:14" x14ac:dyDescent="0.2">
      <c r="A485" s="1">
        <v>45314</v>
      </c>
      <c r="B485" t="s">
        <v>30</v>
      </c>
      <c r="C485" t="s">
        <v>17</v>
      </c>
      <c r="D485" t="s">
        <v>12</v>
      </c>
      <c r="E485">
        <v>4751</v>
      </c>
      <c r="F485">
        <v>1.25</v>
      </c>
      <c r="G485">
        <v>1.05</v>
      </c>
      <c r="H485">
        <v>5938.75</v>
      </c>
      <c r="I485">
        <v>4988.55</v>
      </c>
      <c r="J485">
        <v>950.19999999999902</v>
      </c>
      <c r="K485">
        <f>Table1[[#This Row],[Liters_Sold]]</f>
        <v>4751</v>
      </c>
      <c r="L485">
        <f>Table1[[#This Row],[Delivery volume]]*0.05</f>
        <v>237.55</v>
      </c>
      <c r="M485" s="16">
        <f>Table1[[#This Row],[Delivery Cost]]/Table1[[#This Row],[Revenue]]</f>
        <v>0.04</v>
      </c>
      <c r="N485" t="str">
        <f t="shared" si="7"/>
        <v>Jan</v>
      </c>
    </row>
    <row r="486" spans="1:14" x14ac:dyDescent="0.2">
      <c r="A486" s="1">
        <v>45541</v>
      </c>
      <c r="B486" t="s">
        <v>15</v>
      </c>
      <c r="C486" t="s">
        <v>23</v>
      </c>
      <c r="D486" t="s">
        <v>18</v>
      </c>
      <c r="E486">
        <v>4488</v>
      </c>
      <c r="F486">
        <v>1.2</v>
      </c>
      <c r="G486">
        <v>1</v>
      </c>
      <c r="H486">
        <v>5385.5999999999904</v>
      </c>
      <c r="I486">
        <v>4488</v>
      </c>
      <c r="J486">
        <v>897.599999999999</v>
      </c>
      <c r="K486">
        <f>Table1[[#This Row],[Liters_Sold]]</f>
        <v>4488</v>
      </c>
      <c r="L486">
        <f>Table1[[#This Row],[Delivery volume]]*0.05</f>
        <v>224.4</v>
      </c>
      <c r="M486" s="16">
        <f>Table1[[#This Row],[Delivery Cost]]/Table1[[#This Row],[Revenue]]</f>
        <v>4.1666666666666741E-2</v>
      </c>
      <c r="N486" t="str">
        <f t="shared" si="7"/>
        <v>Sep</v>
      </c>
    </row>
    <row r="487" spans="1:14" x14ac:dyDescent="0.2">
      <c r="A487" s="1">
        <v>45301</v>
      </c>
      <c r="B487" t="s">
        <v>31</v>
      </c>
      <c r="C487" t="s">
        <v>20</v>
      </c>
      <c r="D487" t="s">
        <v>18</v>
      </c>
      <c r="E487">
        <v>1422</v>
      </c>
      <c r="F487">
        <v>1.2</v>
      </c>
      <c r="G487">
        <v>1</v>
      </c>
      <c r="H487">
        <v>1706.3999999999901</v>
      </c>
      <c r="I487">
        <v>1422</v>
      </c>
      <c r="J487">
        <v>284.39999999999901</v>
      </c>
      <c r="K487">
        <f>Table1[[#This Row],[Liters_Sold]]</f>
        <v>1422</v>
      </c>
      <c r="L487">
        <f>Table1[[#This Row],[Delivery volume]]*0.05</f>
        <v>71.100000000000009</v>
      </c>
      <c r="M487" s="16">
        <f>Table1[[#This Row],[Delivery Cost]]/Table1[[#This Row],[Revenue]]</f>
        <v>4.1666666666666914E-2</v>
      </c>
      <c r="N487" t="str">
        <f t="shared" si="7"/>
        <v>Jan</v>
      </c>
    </row>
    <row r="488" spans="1:14" x14ac:dyDescent="0.2">
      <c r="A488" s="1">
        <v>45537</v>
      </c>
      <c r="B488" t="s">
        <v>27</v>
      </c>
      <c r="C488" t="s">
        <v>11</v>
      </c>
      <c r="D488" t="s">
        <v>18</v>
      </c>
      <c r="E488">
        <v>3415</v>
      </c>
      <c r="F488">
        <v>1.2</v>
      </c>
      <c r="G488">
        <v>1</v>
      </c>
      <c r="H488">
        <v>4098</v>
      </c>
      <c r="I488">
        <v>3415</v>
      </c>
      <c r="J488">
        <v>683</v>
      </c>
      <c r="K488">
        <f>Table1[[#This Row],[Liters_Sold]]</f>
        <v>3415</v>
      </c>
      <c r="L488">
        <f>Table1[[#This Row],[Delivery volume]]*0.05</f>
        <v>170.75</v>
      </c>
      <c r="M488" s="16">
        <f>Table1[[#This Row],[Delivery Cost]]/Table1[[#This Row],[Revenue]]</f>
        <v>4.1666666666666664E-2</v>
      </c>
      <c r="N488" t="str">
        <f t="shared" si="7"/>
        <v>Sep</v>
      </c>
    </row>
    <row r="489" spans="1:14" x14ac:dyDescent="0.2">
      <c r="A489" s="1">
        <v>45616</v>
      </c>
      <c r="B489" t="s">
        <v>28</v>
      </c>
      <c r="C489" t="s">
        <v>23</v>
      </c>
      <c r="D489" t="s">
        <v>14</v>
      </c>
      <c r="E489">
        <v>3450</v>
      </c>
      <c r="F489">
        <v>0.9</v>
      </c>
      <c r="G489">
        <v>0.7</v>
      </c>
      <c r="H489">
        <v>3105</v>
      </c>
      <c r="I489">
        <v>2415</v>
      </c>
      <c r="J489">
        <v>690</v>
      </c>
      <c r="K489">
        <f>Table1[[#This Row],[Liters_Sold]]</f>
        <v>3450</v>
      </c>
      <c r="L489">
        <f>Table1[[#This Row],[Delivery volume]]*0.05</f>
        <v>172.5</v>
      </c>
      <c r="M489" s="16">
        <f>Table1[[#This Row],[Delivery Cost]]/Table1[[#This Row],[Revenue]]</f>
        <v>5.5555555555555552E-2</v>
      </c>
      <c r="N489" t="str">
        <f t="shared" si="7"/>
        <v>Nov</v>
      </c>
    </row>
    <row r="490" spans="1:14" x14ac:dyDescent="0.2">
      <c r="A490" s="1">
        <v>45391</v>
      </c>
      <c r="B490" t="s">
        <v>26</v>
      </c>
      <c r="C490" t="s">
        <v>20</v>
      </c>
      <c r="D490" t="s">
        <v>12</v>
      </c>
      <c r="E490">
        <v>3546</v>
      </c>
      <c r="F490">
        <v>1.25</v>
      </c>
      <c r="G490">
        <v>1.05</v>
      </c>
      <c r="H490">
        <v>4432.5</v>
      </c>
      <c r="I490">
        <v>3723.3</v>
      </c>
      <c r="J490">
        <v>709.19999999999902</v>
      </c>
      <c r="K490">
        <f>Table1[[#This Row],[Liters_Sold]]</f>
        <v>3546</v>
      </c>
      <c r="L490">
        <f>Table1[[#This Row],[Delivery volume]]*0.05</f>
        <v>177.3</v>
      </c>
      <c r="M490" s="16">
        <f>Table1[[#This Row],[Delivery Cost]]/Table1[[#This Row],[Revenue]]</f>
        <v>0.04</v>
      </c>
      <c r="N490" t="str">
        <f t="shared" si="7"/>
        <v>Apr</v>
      </c>
    </row>
    <row r="491" spans="1:14" x14ac:dyDescent="0.2">
      <c r="A491" s="1">
        <v>45581</v>
      </c>
      <c r="B491" t="s">
        <v>15</v>
      </c>
      <c r="C491" t="s">
        <v>29</v>
      </c>
      <c r="D491" t="s">
        <v>12</v>
      </c>
      <c r="E491">
        <v>1474</v>
      </c>
      <c r="F491">
        <v>1.25</v>
      </c>
      <c r="G491">
        <v>1.05</v>
      </c>
      <c r="H491">
        <v>1842.5</v>
      </c>
      <c r="I491">
        <v>1547.7</v>
      </c>
      <c r="J491">
        <v>294.79999999999899</v>
      </c>
      <c r="K491">
        <f>Table1[[#This Row],[Liters_Sold]]</f>
        <v>1474</v>
      </c>
      <c r="L491">
        <f>Table1[[#This Row],[Delivery volume]]*0.05</f>
        <v>73.7</v>
      </c>
      <c r="M491" s="16">
        <f>Table1[[#This Row],[Delivery Cost]]/Table1[[#This Row],[Revenue]]</f>
        <v>0.04</v>
      </c>
      <c r="N491" t="str">
        <f t="shared" si="7"/>
        <v>Oct</v>
      </c>
    </row>
    <row r="492" spans="1:14" x14ac:dyDescent="0.2">
      <c r="A492" s="1">
        <v>45471</v>
      </c>
      <c r="B492" t="s">
        <v>21</v>
      </c>
      <c r="C492" t="s">
        <v>20</v>
      </c>
      <c r="D492" t="s">
        <v>14</v>
      </c>
      <c r="E492">
        <v>1730</v>
      </c>
      <c r="F492">
        <v>0.9</v>
      </c>
      <c r="G492">
        <v>0.7</v>
      </c>
      <c r="H492">
        <v>1557</v>
      </c>
      <c r="I492">
        <v>1211</v>
      </c>
      <c r="J492">
        <v>346</v>
      </c>
      <c r="K492">
        <f>Table1[[#This Row],[Liters_Sold]]</f>
        <v>1730</v>
      </c>
      <c r="L492">
        <f>Table1[[#This Row],[Delivery volume]]*0.05</f>
        <v>86.5</v>
      </c>
      <c r="M492" s="16">
        <f>Table1[[#This Row],[Delivery Cost]]/Table1[[#This Row],[Revenue]]</f>
        <v>5.5555555555555552E-2</v>
      </c>
      <c r="N492" t="str">
        <f t="shared" si="7"/>
        <v>Jun</v>
      </c>
    </row>
    <row r="493" spans="1:14" x14ac:dyDescent="0.2">
      <c r="A493" s="1">
        <v>45514</v>
      </c>
      <c r="B493" t="s">
        <v>26</v>
      </c>
      <c r="C493" t="s">
        <v>11</v>
      </c>
      <c r="D493" t="s">
        <v>12</v>
      </c>
      <c r="E493">
        <v>2935</v>
      </c>
      <c r="F493">
        <v>1.25</v>
      </c>
      <c r="G493">
        <v>1.05</v>
      </c>
      <c r="H493">
        <v>3668.75</v>
      </c>
      <c r="I493">
        <v>3081.75</v>
      </c>
      <c r="J493">
        <v>587</v>
      </c>
      <c r="K493">
        <f>Table1[[#This Row],[Liters_Sold]]</f>
        <v>2935</v>
      </c>
      <c r="L493">
        <f>Table1[[#This Row],[Delivery volume]]*0.05</f>
        <v>146.75</v>
      </c>
      <c r="M493" s="16">
        <f>Table1[[#This Row],[Delivery Cost]]/Table1[[#This Row],[Revenue]]</f>
        <v>0.04</v>
      </c>
      <c r="N493" t="str">
        <f t="shared" si="7"/>
        <v>Aug</v>
      </c>
    </row>
    <row r="494" spans="1:14" x14ac:dyDescent="0.2">
      <c r="A494" s="1">
        <v>45541</v>
      </c>
      <c r="B494" t="s">
        <v>27</v>
      </c>
      <c r="C494" t="s">
        <v>20</v>
      </c>
      <c r="D494" t="s">
        <v>18</v>
      </c>
      <c r="E494">
        <v>2314</v>
      </c>
      <c r="F494">
        <v>1.2</v>
      </c>
      <c r="G494">
        <v>1</v>
      </c>
      <c r="H494">
        <v>2776.7999999999902</v>
      </c>
      <c r="I494">
        <v>2314</v>
      </c>
      <c r="J494">
        <v>462.79999999999899</v>
      </c>
      <c r="K494">
        <f>Table1[[#This Row],[Liters_Sold]]</f>
        <v>2314</v>
      </c>
      <c r="L494">
        <f>Table1[[#This Row],[Delivery volume]]*0.05</f>
        <v>115.7</v>
      </c>
      <c r="M494" s="16">
        <f>Table1[[#This Row],[Delivery Cost]]/Table1[[#This Row],[Revenue]]</f>
        <v>4.1666666666666817E-2</v>
      </c>
      <c r="N494" t="str">
        <f t="shared" si="7"/>
        <v>Sep</v>
      </c>
    </row>
    <row r="495" spans="1:14" x14ac:dyDescent="0.2">
      <c r="A495" s="1">
        <v>45438</v>
      </c>
      <c r="B495" t="s">
        <v>30</v>
      </c>
      <c r="C495" t="s">
        <v>17</v>
      </c>
      <c r="D495" t="s">
        <v>14</v>
      </c>
      <c r="E495">
        <v>3434</v>
      </c>
      <c r="F495">
        <v>0.9</v>
      </c>
      <c r="G495">
        <v>0.7</v>
      </c>
      <c r="H495">
        <v>3090.6</v>
      </c>
      <c r="I495">
        <v>2403.7999999999902</v>
      </c>
      <c r="J495">
        <v>686.8</v>
      </c>
      <c r="K495">
        <f>Table1[[#This Row],[Liters_Sold]]</f>
        <v>3434</v>
      </c>
      <c r="L495">
        <f>Table1[[#This Row],[Delivery volume]]*0.05</f>
        <v>171.70000000000002</v>
      </c>
      <c r="M495" s="16">
        <f>Table1[[#This Row],[Delivery Cost]]/Table1[[#This Row],[Revenue]]</f>
        <v>5.5555555555555559E-2</v>
      </c>
      <c r="N495" t="str">
        <f t="shared" si="7"/>
        <v>May</v>
      </c>
    </row>
    <row r="496" spans="1:14" x14ac:dyDescent="0.2">
      <c r="A496" s="1">
        <v>45387</v>
      </c>
      <c r="B496" t="s">
        <v>32</v>
      </c>
      <c r="C496" t="s">
        <v>11</v>
      </c>
      <c r="D496" t="s">
        <v>12</v>
      </c>
      <c r="E496">
        <v>5433</v>
      </c>
      <c r="F496">
        <v>1.25</v>
      </c>
      <c r="G496">
        <v>1.05</v>
      </c>
      <c r="H496">
        <v>6791.25</v>
      </c>
      <c r="I496">
        <v>5704.65</v>
      </c>
      <c r="J496">
        <v>1086.5999999999899</v>
      </c>
      <c r="K496">
        <f>Table1[[#This Row],[Liters_Sold]]</f>
        <v>5433</v>
      </c>
      <c r="L496">
        <f>Table1[[#This Row],[Delivery volume]]*0.05</f>
        <v>271.65000000000003</v>
      </c>
      <c r="M496" s="16">
        <f>Table1[[#This Row],[Delivery Cost]]/Table1[[#This Row],[Revenue]]</f>
        <v>4.0000000000000008E-2</v>
      </c>
      <c r="N496" t="str">
        <f t="shared" si="7"/>
        <v>Apr</v>
      </c>
    </row>
    <row r="497" spans="1:14" x14ac:dyDescent="0.2">
      <c r="A497" s="1">
        <v>45548</v>
      </c>
      <c r="B497" t="s">
        <v>26</v>
      </c>
      <c r="C497" t="s">
        <v>29</v>
      </c>
      <c r="D497" t="s">
        <v>14</v>
      </c>
      <c r="E497">
        <v>1863</v>
      </c>
      <c r="F497">
        <v>0.9</v>
      </c>
      <c r="G497">
        <v>0.7</v>
      </c>
      <c r="H497">
        <v>1676.7</v>
      </c>
      <c r="I497">
        <v>1304.0999999999999</v>
      </c>
      <c r="J497">
        <v>372.6</v>
      </c>
      <c r="K497">
        <f>Table1[[#This Row],[Liters_Sold]]</f>
        <v>1863</v>
      </c>
      <c r="L497">
        <f>Table1[[#This Row],[Delivery volume]]*0.05</f>
        <v>93.15</v>
      </c>
      <c r="M497" s="16">
        <f>Table1[[#This Row],[Delivery Cost]]/Table1[[#This Row],[Revenue]]</f>
        <v>5.5555555555555559E-2</v>
      </c>
      <c r="N497" t="str">
        <f t="shared" si="7"/>
        <v>Sep</v>
      </c>
    </row>
    <row r="498" spans="1:14" x14ac:dyDescent="0.2">
      <c r="A498" s="1">
        <v>45616</v>
      </c>
      <c r="B498" t="s">
        <v>32</v>
      </c>
      <c r="C498" t="s">
        <v>17</v>
      </c>
      <c r="D498" t="s">
        <v>12</v>
      </c>
      <c r="E498">
        <v>4440</v>
      </c>
      <c r="F498">
        <v>1.25</v>
      </c>
      <c r="G498">
        <v>1.05</v>
      </c>
      <c r="H498">
        <v>5550</v>
      </c>
      <c r="I498">
        <v>4662</v>
      </c>
      <c r="J498">
        <v>888</v>
      </c>
      <c r="K498">
        <f>Table1[[#This Row],[Liters_Sold]]</f>
        <v>4440</v>
      </c>
      <c r="L498">
        <f>Table1[[#This Row],[Delivery volume]]*0.05</f>
        <v>222</v>
      </c>
      <c r="M498" s="16">
        <f>Table1[[#This Row],[Delivery Cost]]/Table1[[#This Row],[Revenue]]</f>
        <v>0.04</v>
      </c>
      <c r="N498" t="str">
        <f t="shared" si="7"/>
        <v>Nov</v>
      </c>
    </row>
    <row r="499" spans="1:14" x14ac:dyDescent="0.2">
      <c r="A499" s="1">
        <v>45295</v>
      </c>
      <c r="B499" t="s">
        <v>24</v>
      </c>
      <c r="C499" t="s">
        <v>20</v>
      </c>
      <c r="D499" t="s">
        <v>18</v>
      </c>
      <c r="E499">
        <v>703</v>
      </c>
      <c r="F499">
        <v>1.2</v>
      </c>
      <c r="G499">
        <v>1</v>
      </c>
      <c r="H499">
        <v>843.6</v>
      </c>
      <c r="I499">
        <v>703</v>
      </c>
      <c r="J499">
        <v>140.6</v>
      </c>
      <c r="K499">
        <f>Table1[[#This Row],[Liters_Sold]]</f>
        <v>703</v>
      </c>
      <c r="L499">
        <f>Table1[[#This Row],[Delivery volume]]*0.05</f>
        <v>35.15</v>
      </c>
      <c r="M499" s="16">
        <f>Table1[[#This Row],[Delivery Cost]]/Table1[[#This Row],[Revenue]]</f>
        <v>4.1666666666666664E-2</v>
      </c>
      <c r="N499" t="str">
        <f t="shared" si="7"/>
        <v>Jan</v>
      </c>
    </row>
    <row r="500" spans="1:14" x14ac:dyDescent="0.2">
      <c r="A500" s="1">
        <v>45307</v>
      </c>
      <c r="B500" t="s">
        <v>30</v>
      </c>
      <c r="C500" t="s">
        <v>11</v>
      </c>
      <c r="D500" t="s">
        <v>18</v>
      </c>
      <c r="E500">
        <v>660</v>
      </c>
      <c r="F500">
        <v>1.2</v>
      </c>
      <c r="G500">
        <v>1</v>
      </c>
      <c r="H500">
        <v>792</v>
      </c>
      <c r="I500">
        <v>660</v>
      </c>
      <c r="J500">
        <v>132</v>
      </c>
      <c r="K500">
        <f>Table1[[#This Row],[Liters_Sold]]</f>
        <v>660</v>
      </c>
      <c r="L500">
        <f>Table1[[#This Row],[Delivery volume]]*0.05</f>
        <v>33</v>
      </c>
      <c r="M500" s="16">
        <f>Table1[[#This Row],[Delivery Cost]]/Table1[[#This Row],[Revenue]]</f>
        <v>4.1666666666666664E-2</v>
      </c>
      <c r="N500" t="str">
        <f t="shared" si="7"/>
        <v>Jan</v>
      </c>
    </row>
    <row r="501" spans="1:14" x14ac:dyDescent="0.2">
      <c r="A501" s="1">
        <v>45571</v>
      </c>
      <c r="B501" t="s">
        <v>22</v>
      </c>
      <c r="C501" t="s">
        <v>29</v>
      </c>
      <c r="D501" t="s">
        <v>14</v>
      </c>
      <c r="E501">
        <v>4987</v>
      </c>
      <c r="F501">
        <v>0.9</v>
      </c>
      <c r="G501">
        <v>0.7</v>
      </c>
      <c r="H501">
        <v>4488.3</v>
      </c>
      <c r="I501">
        <v>3490.8999999999901</v>
      </c>
      <c r="J501">
        <v>997.4</v>
      </c>
      <c r="K501">
        <f>Table1[[#This Row],[Liters_Sold]]</f>
        <v>4987</v>
      </c>
      <c r="L501">
        <f>Table1[[#This Row],[Delivery volume]]*0.05</f>
        <v>249.35000000000002</v>
      </c>
      <c r="M501" s="16">
        <f>Table1[[#This Row],[Delivery Cost]]/Table1[[#This Row],[Revenue]]</f>
        <v>5.5555555555555559E-2</v>
      </c>
      <c r="N501" t="str">
        <f t="shared" si="7"/>
        <v>Oct</v>
      </c>
    </row>
    <row r="502" spans="1:14" x14ac:dyDescent="0.2">
      <c r="A502" s="1">
        <v>45627</v>
      </c>
      <c r="B502" t="s">
        <v>16</v>
      </c>
      <c r="C502" t="s">
        <v>17</v>
      </c>
      <c r="D502" t="s">
        <v>12</v>
      </c>
      <c r="E502">
        <v>1268</v>
      </c>
      <c r="F502">
        <v>1.25</v>
      </c>
      <c r="G502">
        <v>1.05</v>
      </c>
      <c r="H502">
        <v>1585</v>
      </c>
      <c r="I502">
        <v>1331.4</v>
      </c>
      <c r="J502">
        <v>253.599999999999</v>
      </c>
      <c r="K502">
        <f>Table1[[#This Row],[Liters_Sold]]</f>
        <v>1268</v>
      </c>
      <c r="L502">
        <f>Table1[[#This Row],[Delivery volume]]*0.05</f>
        <v>63.400000000000006</v>
      </c>
      <c r="M502" s="16">
        <f>Table1[[#This Row],[Delivery Cost]]/Table1[[#This Row],[Revenue]]</f>
        <v>0.04</v>
      </c>
      <c r="N502" t="str">
        <f t="shared" si="7"/>
        <v>Dec</v>
      </c>
    </row>
    <row r="503" spans="1:14" x14ac:dyDescent="0.2">
      <c r="A503" s="1">
        <v>45538</v>
      </c>
      <c r="B503" t="s">
        <v>21</v>
      </c>
      <c r="C503" t="s">
        <v>29</v>
      </c>
      <c r="D503" t="s">
        <v>12</v>
      </c>
      <c r="E503">
        <v>4248</v>
      </c>
      <c r="F503">
        <v>1.25</v>
      </c>
      <c r="G503">
        <v>1.05</v>
      </c>
      <c r="H503">
        <v>5310</v>
      </c>
      <c r="I503">
        <v>4460.3999999999996</v>
      </c>
      <c r="J503">
        <v>849.599999999999</v>
      </c>
      <c r="K503">
        <f>Table1[[#This Row],[Liters_Sold]]</f>
        <v>4248</v>
      </c>
      <c r="L503">
        <f>Table1[[#This Row],[Delivery volume]]*0.05</f>
        <v>212.4</v>
      </c>
      <c r="M503" s="16">
        <f>Table1[[#This Row],[Delivery Cost]]/Table1[[#This Row],[Revenue]]</f>
        <v>0.04</v>
      </c>
      <c r="N503" t="str">
        <f t="shared" si="7"/>
        <v>Sep</v>
      </c>
    </row>
    <row r="504" spans="1:14" x14ac:dyDescent="0.2">
      <c r="A504" s="1">
        <v>45549</v>
      </c>
      <c r="B504" t="s">
        <v>19</v>
      </c>
      <c r="C504" t="s">
        <v>20</v>
      </c>
      <c r="D504" t="s">
        <v>18</v>
      </c>
      <c r="E504">
        <v>3081</v>
      </c>
      <c r="F504">
        <v>1.2</v>
      </c>
      <c r="G504">
        <v>1</v>
      </c>
      <c r="H504">
        <v>3697.2</v>
      </c>
      <c r="I504">
        <v>3081</v>
      </c>
      <c r="J504">
        <v>616.19999999999902</v>
      </c>
      <c r="K504">
        <f>Table1[[#This Row],[Liters_Sold]]</f>
        <v>3081</v>
      </c>
      <c r="L504">
        <f>Table1[[#This Row],[Delivery volume]]*0.05</f>
        <v>154.05000000000001</v>
      </c>
      <c r="M504" s="16">
        <f>Table1[[#This Row],[Delivery Cost]]/Table1[[#This Row],[Revenue]]</f>
        <v>4.1666666666666671E-2</v>
      </c>
      <c r="N504" t="str">
        <f t="shared" si="7"/>
        <v>Sep</v>
      </c>
    </row>
    <row r="505" spans="1:14" x14ac:dyDescent="0.2">
      <c r="A505" s="1">
        <v>45451</v>
      </c>
      <c r="B505" t="s">
        <v>27</v>
      </c>
      <c r="C505" t="s">
        <v>29</v>
      </c>
      <c r="D505" t="s">
        <v>18</v>
      </c>
      <c r="E505">
        <v>1593</v>
      </c>
      <c r="F505">
        <v>1.2</v>
      </c>
      <c r="G505">
        <v>1</v>
      </c>
      <c r="H505">
        <v>1911.6</v>
      </c>
      <c r="I505">
        <v>1593</v>
      </c>
      <c r="J505">
        <v>318.599999999999</v>
      </c>
      <c r="K505">
        <f>Table1[[#This Row],[Liters_Sold]]</f>
        <v>1593</v>
      </c>
      <c r="L505">
        <f>Table1[[#This Row],[Delivery volume]]*0.05</f>
        <v>79.650000000000006</v>
      </c>
      <c r="M505" s="16">
        <f>Table1[[#This Row],[Delivery Cost]]/Table1[[#This Row],[Revenue]]</f>
        <v>4.1666666666666671E-2</v>
      </c>
      <c r="N505" t="str">
        <f t="shared" si="7"/>
        <v>Jun</v>
      </c>
    </row>
    <row r="506" spans="1:14" x14ac:dyDescent="0.2">
      <c r="A506" s="1">
        <v>45631</v>
      </c>
      <c r="B506" t="s">
        <v>13</v>
      </c>
      <c r="C506" t="s">
        <v>23</v>
      </c>
      <c r="D506" t="s">
        <v>18</v>
      </c>
      <c r="E506">
        <v>5000</v>
      </c>
      <c r="F506">
        <v>1.2</v>
      </c>
      <c r="G506">
        <v>1</v>
      </c>
      <c r="H506">
        <v>6000</v>
      </c>
      <c r="I506">
        <v>5000</v>
      </c>
      <c r="J506">
        <v>1000</v>
      </c>
      <c r="K506">
        <f>Table1[[#This Row],[Liters_Sold]]</f>
        <v>5000</v>
      </c>
      <c r="L506">
        <f>Table1[[#This Row],[Delivery volume]]*0.05</f>
        <v>250</v>
      </c>
      <c r="M506" s="16">
        <f>Table1[[#This Row],[Delivery Cost]]/Table1[[#This Row],[Revenue]]</f>
        <v>4.1666666666666664E-2</v>
      </c>
      <c r="N506" t="str">
        <f t="shared" si="7"/>
        <v>Dec</v>
      </c>
    </row>
    <row r="507" spans="1:14" x14ac:dyDescent="0.2">
      <c r="A507" s="1">
        <v>45443</v>
      </c>
      <c r="B507" t="s">
        <v>19</v>
      </c>
      <c r="C507" t="s">
        <v>17</v>
      </c>
      <c r="D507" t="s">
        <v>12</v>
      </c>
      <c r="E507">
        <v>1107</v>
      </c>
      <c r="F507">
        <v>1.25</v>
      </c>
      <c r="G507">
        <v>1.05</v>
      </c>
      <c r="H507">
        <v>1383.75</v>
      </c>
      <c r="I507">
        <v>1162.3499999999999</v>
      </c>
      <c r="J507">
        <v>221.39999999999901</v>
      </c>
      <c r="K507">
        <f>Table1[[#This Row],[Liters_Sold]]</f>
        <v>1107</v>
      </c>
      <c r="L507">
        <f>Table1[[#This Row],[Delivery volume]]*0.05</f>
        <v>55.35</v>
      </c>
      <c r="M507" s="16">
        <f>Table1[[#This Row],[Delivery Cost]]/Table1[[#This Row],[Revenue]]</f>
        <v>0.04</v>
      </c>
      <c r="N507" t="str">
        <f t="shared" si="7"/>
        <v>May</v>
      </c>
    </row>
    <row r="508" spans="1:14" x14ac:dyDescent="0.2">
      <c r="A508" s="1">
        <v>45469</v>
      </c>
      <c r="B508" t="s">
        <v>26</v>
      </c>
      <c r="C508" t="s">
        <v>29</v>
      </c>
      <c r="D508" t="s">
        <v>12</v>
      </c>
      <c r="E508">
        <v>2040</v>
      </c>
      <c r="F508">
        <v>1.25</v>
      </c>
      <c r="G508">
        <v>1.05</v>
      </c>
      <c r="H508">
        <v>2550</v>
      </c>
      <c r="I508">
        <v>2142</v>
      </c>
      <c r="J508">
        <v>408</v>
      </c>
      <c r="K508">
        <f>Table1[[#This Row],[Liters_Sold]]</f>
        <v>2040</v>
      </c>
      <c r="L508">
        <f>Table1[[#This Row],[Delivery volume]]*0.05</f>
        <v>102</v>
      </c>
      <c r="M508" s="16">
        <f>Table1[[#This Row],[Delivery Cost]]/Table1[[#This Row],[Revenue]]</f>
        <v>0.04</v>
      </c>
      <c r="N508" t="str">
        <f t="shared" si="7"/>
        <v>Jun</v>
      </c>
    </row>
    <row r="509" spans="1:14" x14ac:dyDescent="0.2">
      <c r="A509" s="1">
        <v>45454</v>
      </c>
      <c r="B509" t="s">
        <v>15</v>
      </c>
      <c r="C509" t="s">
        <v>20</v>
      </c>
      <c r="D509" t="s">
        <v>12</v>
      </c>
      <c r="E509">
        <v>3375</v>
      </c>
      <c r="F509">
        <v>1.25</v>
      </c>
      <c r="G509">
        <v>1.05</v>
      </c>
      <c r="H509">
        <v>4218.75</v>
      </c>
      <c r="I509">
        <v>3543.75</v>
      </c>
      <c r="J509">
        <v>675</v>
      </c>
      <c r="K509">
        <f>Table1[[#This Row],[Liters_Sold]]</f>
        <v>3375</v>
      </c>
      <c r="L509">
        <f>Table1[[#This Row],[Delivery volume]]*0.05</f>
        <v>168.75</v>
      </c>
      <c r="M509" s="16">
        <f>Table1[[#This Row],[Delivery Cost]]/Table1[[#This Row],[Revenue]]</f>
        <v>0.04</v>
      </c>
      <c r="N509" t="str">
        <f t="shared" si="7"/>
        <v>Jun</v>
      </c>
    </row>
    <row r="510" spans="1:14" x14ac:dyDescent="0.2">
      <c r="A510" s="1">
        <v>45324</v>
      </c>
      <c r="B510" t="s">
        <v>27</v>
      </c>
      <c r="C510" t="s">
        <v>20</v>
      </c>
      <c r="D510" t="s">
        <v>18</v>
      </c>
      <c r="E510">
        <v>3691</v>
      </c>
      <c r="F510">
        <v>1.2</v>
      </c>
      <c r="G510">
        <v>1</v>
      </c>
      <c r="H510">
        <v>4429.2</v>
      </c>
      <c r="I510">
        <v>3691</v>
      </c>
      <c r="J510">
        <v>738.19999999999902</v>
      </c>
      <c r="K510">
        <f>Table1[[#This Row],[Liters_Sold]]</f>
        <v>3691</v>
      </c>
      <c r="L510">
        <f>Table1[[#This Row],[Delivery volume]]*0.05</f>
        <v>184.55</v>
      </c>
      <c r="M510" s="16">
        <f>Table1[[#This Row],[Delivery Cost]]/Table1[[#This Row],[Revenue]]</f>
        <v>4.1666666666666671E-2</v>
      </c>
      <c r="N510" t="str">
        <f t="shared" si="7"/>
        <v>Feb</v>
      </c>
    </row>
    <row r="511" spans="1:14" x14ac:dyDescent="0.2">
      <c r="A511" s="1">
        <v>45470</v>
      </c>
      <c r="B511" t="s">
        <v>16</v>
      </c>
      <c r="C511" t="s">
        <v>29</v>
      </c>
      <c r="D511" t="s">
        <v>12</v>
      </c>
      <c r="E511">
        <v>2337</v>
      </c>
      <c r="F511">
        <v>1.25</v>
      </c>
      <c r="G511">
        <v>1.05</v>
      </c>
      <c r="H511">
        <v>2921.25</v>
      </c>
      <c r="I511">
        <v>2453.85</v>
      </c>
      <c r="J511">
        <v>467.4</v>
      </c>
      <c r="K511">
        <f>Table1[[#This Row],[Liters_Sold]]</f>
        <v>2337</v>
      </c>
      <c r="L511">
        <f>Table1[[#This Row],[Delivery volume]]*0.05</f>
        <v>116.85000000000001</v>
      </c>
      <c r="M511" s="16">
        <f>Table1[[#This Row],[Delivery Cost]]/Table1[[#This Row],[Revenue]]</f>
        <v>0.04</v>
      </c>
      <c r="N511" t="str">
        <f t="shared" si="7"/>
        <v>Jun</v>
      </c>
    </row>
    <row r="512" spans="1:14" x14ac:dyDescent="0.2">
      <c r="A512" s="1">
        <v>45392</v>
      </c>
      <c r="B512" t="s">
        <v>25</v>
      </c>
      <c r="C512" t="s">
        <v>20</v>
      </c>
      <c r="D512" t="s">
        <v>12</v>
      </c>
      <c r="E512">
        <v>1189</v>
      </c>
      <c r="F512">
        <v>1.25</v>
      </c>
      <c r="G512">
        <v>1.05</v>
      </c>
      <c r="H512">
        <v>1486.25</v>
      </c>
      <c r="I512">
        <v>1248.45</v>
      </c>
      <c r="J512">
        <v>237.79999999999899</v>
      </c>
      <c r="K512">
        <f>Table1[[#This Row],[Liters_Sold]]</f>
        <v>1189</v>
      </c>
      <c r="L512">
        <f>Table1[[#This Row],[Delivery volume]]*0.05</f>
        <v>59.45</v>
      </c>
      <c r="M512" s="16">
        <f>Table1[[#This Row],[Delivery Cost]]/Table1[[#This Row],[Revenue]]</f>
        <v>0.04</v>
      </c>
      <c r="N512" t="str">
        <f t="shared" si="7"/>
        <v>Apr</v>
      </c>
    </row>
    <row r="513" spans="1:14" x14ac:dyDescent="0.2">
      <c r="A513" s="1">
        <v>45559</v>
      </c>
      <c r="B513" t="s">
        <v>16</v>
      </c>
      <c r="C513" t="s">
        <v>11</v>
      </c>
      <c r="D513" t="s">
        <v>14</v>
      </c>
      <c r="E513">
        <v>4259</v>
      </c>
      <c r="F513">
        <v>0.9</v>
      </c>
      <c r="G513">
        <v>0.7</v>
      </c>
      <c r="H513">
        <v>3833.1</v>
      </c>
      <c r="I513">
        <v>2981.2999999999902</v>
      </c>
      <c r="J513">
        <v>851.8</v>
      </c>
      <c r="K513">
        <f>Table1[[#This Row],[Liters_Sold]]</f>
        <v>4259</v>
      </c>
      <c r="L513">
        <f>Table1[[#This Row],[Delivery volume]]*0.05</f>
        <v>212.95000000000002</v>
      </c>
      <c r="M513" s="16">
        <f>Table1[[#This Row],[Delivery Cost]]/Table1[[#This Row],[Revenue]]</f>
        <v>5.5555555555555559E-2</v>
      </c>
      <c r="N513" t="str">
        <f t="shared" si="7"/>
        <v>Sep</v>
      </c>
    </row>
    <row r="514" spans="1:14" x14ac:dyDescent="0.2">
      <c r="A514" s="1">
        <v>45614</v>
      </c>
      <c r="B514" t="s">
        <v>13</v>
      </c>
      <c r="C514" t="s">
        <v>11</v>
      </c>
      <c r="D514" t="s">
        <v>12</v>
      </c>
      <c r="E514">
        <v>3449</v>
      </c>
      <c r="F514">
        <v>1.25</v>
      </c>
      <c r="G514">
        <v>1.05</v>
      </c>
      <c r="H514">
        <v>4311.25</v>
      </c>
      <c r="I514">
        <v>3621.45</v>
      </c>
      <c r="J514">
        <v>689.79999999999905</v>
      </c>
      <c r="K514">
        <f>Table1[[#This Row],[Liters_Sold]]</f>
        <v>3449</v>
      </c>
      <c r="L514">
        <f>Table1[[#This Row],[Delivery volume]]*0.05</f>
        <v>172.45000000000002</v>
      </c>
      <c r="M514" s="16">
        <f>Table1[[#This Row],[Delivery Cost]]/Table1[[#This Row],[Revenue]]</f>
        <v>0.04</v>
      </c>
      <c r="N514" t="str">
        <f t="shared" ref="N514:N577" si="8">TEXT(A514,"mmm")</f>
        <v>Nov</v>
      </c>
    </row>
    <row r="515" spans="1:14" x14ac:dyDescent="0.2">
      <c r="A515" s="1">
        <v>45356</v>
      </c>
      <c r="B515" t="s">
        <v>21</v>
      </c>
      <c r="C515" t="s">
        <v>11</v>
      </c>
      <c r="D515" t="s">
        <v>14</v>
      </c>
      <c r="E515">
        <v>5836</v>
      </c>
      <c r="F515">
        <v>0.9</v>
      </c>
      <c r="G515">
        <v>0.7</v>
      </c>
      <c r="H515">
        <v>5252.4</v>
      </c>
      <c r="I515">
        <v>4085.2</v>
      </c>
      <c r="J515">
        <v>1167.2</v>
      </c>
      <c r="K515">
        <f>Table1[[#This Row],[Liters_Sold]]</f>
        <v>5836</v>
      </c>
      <c r="L515">
        <f>Table1[[#This Row],[Delivery volume]]*0.05</f>
        <v>291.8</v>
      </c>
      <c r="M515" s="16">
        <f>Table1[[#This Row],[Delivery Cost]]/Table1[[#This Row],[Revenue]]</f>
        <v>5.5555555555555559E-2</v>
      </c>
      <c r="N515" t="str">
        <f t="shared" si="8"/>
        <v>Mar</v>
      </c>
    </row>
    <row r="516" spans="1:14" x14ac:dyDescent="0.2">
      <c r="A516" s="1">
        <v>45459</v>
      </c>
      <c r="B516" t="s">
        <v>16</v>
      </c>
      <c r="C516" t="s">
        <v>23</v>
      </c>
      <c r="D516" t="s">
        <v>18</v>
      </c>
      <c r="E516">
        <v>2603</v>
      </c>
      <c r="F516">
        <v>1.2</v>
      </c>
      <c r="G516">
        <v>1</v>
      </c>
      <c r="H516">
        <v>3123.6</v>
      </c>
      <c r="I516">
        <v>2603</v>
      </c>
      <c r="J516">
        <v>520.599999999999</v>
      </c>
      <c r="K516">
        <f>Table1[[#This Row],[Liters_Sold]]</f>
        <v>2603</v>
      </c>
      <c r="L516">
        <f>Table1[[#This Row],[Delivery volume]]*0.05</f>
        <v>130.15</v>
      </c>
      <c r="M516" s="16">
        <f>Table1[[#This Row],[Delivery Cost]]/Table1[[#This Row],[Revenue]]</f>
        <v>4.1666666666666671E-2</v>
      </c>
      <c r="N516" t="str">
        <f t="shared" si="8"/>
        <v>Jun</v>
      </c>
    </row>
    <row r="517" spans="1:14" x14ac:dyDescent="0.2">
      <c r="A517" s="1">
        <v>45621</v>
      </c>
      <c r="B517" t="s">
        <v>28</v>
      </c>
      <c r="C517" t="s">
        <v>29</v>
      </c>
      <c r="D517" t="s">
        <v>18</v>
      </c>
      <c r="E517">
        <v>865</v>
      </c>
      <c r="F517">
        <v>1.2</v>
      </c>
      <c r="G517">
        <v>1</v>
      </c>
      <c r="H517">
        <v>1038</v>
      </c>
      <c r="I517">
        <v>865</v>
      </c>
      <c r="J517">
        <v>173</v>
      </c>
      <c r="K517">
        <f>Table1[[#This Row],[Liters_Sold]]</f>
        <v>865</v>
      </c>
      <c r="L517">
        <f>Table1[[#This Row],[Delivery volume]]*0.05</f>
        <v>43.25</v>
      </c>
      <c r="M517" s="16">
        <f>Table1[[#This Row],[Delivery Cost]]/Table1[[#This Row],[Revenue]]</f>
        <v>4.1666666666666664E-2</v>
      </c>
      <c r="N517" t="str">
        <f t="shared" si="8"/>
        <v>Nov</v>
      </c>
    </row>
    <row r="518" spans="1:14" x14ac:dyDescent="0.2">
      <c r="A518" s="1">
        <v>45334</v>
      </c>
      <c r="B518" t="s">
        <v>25</v>
      </c>
      <c r="C518" t="s">
        <v>23</v>
      </c>
      <c r="D518" t="s">
        <v>12</v>
      </c>
      <c r="E518">
        <v>4075</v>
      </c>
      <c r="F518">
        <v>1.25</v>
      </c>
      <c r="G518">
        <v>1.05</v>
      </c>
      <c r="H518">
        <v>5093.75</v>
      </c>
      <c r="I518">
        <v>4278.75</v>
      </c>
      <c r="J518">
        <v>815</v>
      </c>
      <c r="K518">
        <f>Table1[[#This Row],[Liters_Sold]]</f>
        <v>4075</v>
      </c>
      <c r="L518">
        <f>Table1[[#This Row],[Delivery volume]]*0.05</f>
        <v>203.75</v>
      </c>
      <c r="M518" s="16">
        <f>Table1[[#This Row],[Delivery Cost]]/Table1[[#This Row],[Revenue]]</f>
        <v>0.04</v>
      </c>
      <c r="N518" t="str">
        <f t="shared" si="8"/>
        <v>Feb</v>
      </c>
    </row>
    <row r="519" spans="1:14" x14ac:dyDescent="0.2">
      <c r="A519" s="1">
        <v>45335</v>
      </c>
      <c r="B519" t="s">
        <v>19</v>
      </c>
      <c r="C519" t="s">
        <v>20</v>
      </c>
      <c r="D519" t="s">
        <v>12</v>
      </c>
      <c r="E519">
        <v>5050</v>
      </c>
      <c r="F519">
        <v>1.25</v>
      </c>
      <c r="G519">
        <v>1.05</v>
      </c>
      <c r="H519">
        <v>6312.5</v>
      </c>
      <c r="I519">
        <v>5302.5</v>
      </c>
      <c r="J519">
        <v>1010</v>
      </c>
      <c r="K519">
        <f>Table1[[#This Row],[Liters_Sold]]</f>
        <v>5050</v>
      </c>
      <c r="L519">
        <f>Table1[[#This Row],[Delivery volume]]*0.05</f>
        <v>252.5</v>
      </c>
      <c r="M519" s="16">
        <f>Table1[[#This Row],[Delivery Cost]]/Table1[[#This Row],[Revenue]]</f>
        <v>0.04</v>
      </c>
      <c r="N519" t="str">
        <f t="shared" si="8"/>
        <v>Feb</v>
      </c>
    </row>
    <row r="520" spans="1:14" x14ac:dyDescent="0.2">
      <c r="A520" s="1">
        <v>45576</v>
      </c>
      <c r="B520" t="s">
        <v>22</v>
      </c>
      <c r="C520" t="s">
        <v>23</v>
      </c>
      <c r="D520" t="s">
        <v>18</v>
      </c>
      <c r="E520">
        <v>4699</v>
      </c>
      <c r="F520">
        <v>1.2</v>
      </c>
      <c r="G520">
        <v>1</v>
      </c>
      <c r="H520">
        <v>5638.8</v>
      </c>
      <c r="I520">
        <v>4699</v>
      </c>
      <c r="J520">
        <v>939.8</v>
      </c>
      <c r="K520">
        <f>Table1[[#This Row],[Liters_Sold]]</f>
        <v>4699</v>
      </c>
      <c r="L520">
        <f>Table1[[#This Row],[Delivery volume]]*0.05</f>
        <v>234.95000000000002</v>
      </c>
      <c r="M520" s="16">
        <f>Table1[[#This Row],[Delivery Cost]]/Table1[[#This Row],[Revenue]]</f>
        <v>4.1666666666666671E-2</v>
      </c>
      <c r="N520" t="str">
        <f t="shared" si="8"/>
        <v>Oct</v>
      </c>
    </row>
    <row r="521" spans="1:14" x14ac:dyDescent="0.2">
      <c r="A521" s="1">
        <v>45303</v>
      </c>
      <c r="B521" t="s">
        <v>24</v>
      </c>
      <c r="C521" t="s">
        <v>20</v>
      </c>
      <c r="D521" t="s">
        <v>18</v>
      </c>
      <c r="E521">
        <v>4672</v>
      </c>
      <c r="F521">
        <v>1.2</v>
      </c>
      <c r="G521">
        <v>1</v>
      </c>
      <c r="H521">
        <v>5606.4</v>
      </c>
      <c r="I521">
        <v>4672</v>
      </c>
      <c r="J521">
        <v>934.39999999999895</v>
      </c>
      <c r="K521">
        <f>Table1[[#This Row],[Liters_Sold]]</f>
        <v>4672</v>
      </c>
      <c r="L521">
        <f>Table1[[#This Row],[Delivery volume]]*0.05</f>
        <v>233.60000000000002</v>
      </c>
      <c r="M521" s="16">
        <f>Table1[[#This Row],[Delivery Cost]]/Table1[[#This Row],[Revenue]]</f>
        <v>4.1666666666666671E-2</v>
      </c>
      <c r="N521" t="str">
        <f t="shared" si="8"/>
        <v>Jan</v>
      </c>
    </row>
    <row r="522" spans="1:14" x14ac:dyDescent="0.2">
      <c r="A522" s="1">
        <v>45386</v>
      </c>
      <c r="B522" t="s">
        <v>28</v>
      </c>
      <c r="C522" t="s">
        <v>20</v>
      </c>
      <c r="D522" t="s">
        <v>18</v>
      </c>
      <c r="E522">
        <v>4825</v>
      </c>
      <c r="F522">
        <v>1.2</v>
      </c>
      <c r="G522">
        <v>1</v>
      </c>
      <c r="H522">
        <v>5790</v>
      </c>
      <c r="I522">
        <v>4825</v>
      </c>
      <c r="J522">
        <v>965</v>
      </c>
      <c r="K522">
        <f>Table1[[#This Row],[Liters_Sold]]</f>
        <v>4825</v>
      </c>
      <c r="L522">
        <f>Table1[[#This Row],[Delivery volume]]*0.05</f>
        <v>241.25</v>
      </c>
      <c r="M522" s="16">
        <f>Table1[[#This Row],[Delivery Cost]]/Table1[[#This Row],[Revenue]]</f>
        <v>4.1666666666666664E-2</v>
      </c>
      <c r="N522" t="str">
        <f t="shared" si="8"/>
        <v>Apr</v>
      </c>
    </row>
    <row r="523" spans="1:14" x14ac:dyDescent="0.2">
      <c r="A523" s="1">
        <v>45593</v>
      </c>
      <c r="B523" t="s">
        <v>10</v>
      </c>
      <c r="C523" t="s">
        <v>17</v>
      </c>
      <c r="D523" t="s">
        <v>12</v>
      </c>
      <c r="E523">
        <v>2878</v>
      </c>
      <c r="F523">
        <v>1.25</v>
      </c>
      <c r="G523">
        <v>1.05</v>
      </c>
      <c r="H523">
        <v>3597.5</v>
      </c>
      <c r="I523">
        <v>3021.9</v>
      </c>
      <c r="J523">
        <v>575.599999999999</v>
      </c>
      <c r="K523">
        <f>Table1[[#This Row],[Liters_Sold]]</f>
        <v>2878</v>
      </c>
      <c r="L523">
        <f>Table1[[#This Row],[Delivery volume]]*0.05</f>
        <v>143.9</v>
      </c>
      <c r="M523" s="16">
        <f>Table1[[#This Row],[Delivery Cost]]/Table1[[#This Row],[Revenue]]</f>
        <v>0.04</v>
      </c>
      <c r="N523" t="str">
        <f t="shared" si="8"/>
        <v>Oct</v>
      </c>
    </row>
    <row r="524" spans="1:14" x14ac:dyDescent="0.2">
      <c r="A524" s="1">
        <v>45544</v>
      </c>
      <c r="B524" t="s">
        <v>25</v>
      </c>
      <c r="C524" t="s">
        <v>11</v>
      </c>
      <c r="D524" t="s">
        <v>18</v>
      </c>
      <c r="E524">
        <v>1705</v>
      </c>
      <c r="F524">
        <v>1.2</v>
      </c>
      <c r="G524">
        <v>1</v>
      </c>
      <c r="H524">
        <v>2046</v>
      </c>
      <c r="I524">
        <v>1705</v>
      </c>
      <c r="J524">
        <v>341</v>
      </c>
      <c r="K524">
        <f>Table1[[#This Row],[Liters_Sold]]</f>
        <v>1705</v>
      </c>
      <c r="L524">
        <f>Table1[[#This Row],[Delivery volume]]*0.05</f>
        <v>85.25</v>
      </c>
      <c r="M524" s="16">
        <f>Table1[[#This Row],[Delivery Cost]]/Table1[[#This Row],[Revenue]]</f>
        <v>4.1666666666666664E-2</v>
      </c>
      <c r="N524" t="str">
        <f t="shared" si="8"/>
        <v>Sep</v>
      </c>
    </row>
    <row r="525" spans="1:14" x14ac:dyDescent="0.2">
      <c r="A525" s="1">
        <v>45533</v>
      </c>
      <c r="B525" t="s">
        <v>22</v>
      </c>
      <c r="C525" t="s">
        <v>20</v>
      </c>
      <c r="D525" t="s">
        <v>18</v>
      </c>
      <c r="E525">
        <v>5488</v>
      </c>
      <c r="F525">
        <v>1.2</v>
      </c>
      <c r="G525">
        <v>1</v>
      </c>
      <c r="H525">
        <v>6585.5999999999904</v>
      </c>
      <c r="I525">
        <v>5488</v>
      </c>
      <c r="J525">
        <v>1097.5999999999899</v>
      </c>
      <c r="K525">
        <f>Table1[[#This Row],[Liters_Sold]]</f>
        <v>5488</v>
      </c>
      <c r="L525">
        <f>Table1[[#This Row],[Delivery volume]]*0.05</f>
        <v>274.40000000000003</v>
      </c>
      <c r="M525" s="16">
        <f>Table1[[#This Row],[Delivery Cost]]/Table1[[#This Row],[Revenue]]</f>
        <v>4.1666666666666734E-2</v>
      </c>
      <c r="N525" t="str">
        <f t="shared" si="8"/>
        <v>Aug</v>
      </c>
    </row>
    <row r="526" spans="1:14" x14ac:dyDescent="0.2">
      <c r="A526" s="1">
        <v>45326</v>
      </c>
      <c r="B526" t="s">
        <v>22</v>
      </c>
      <c r="C526" t="s">
        <v>17</v>
      </c>
      <c r="D526" t="s">
        <v>18</v>
      </c>
      <c r="E526">
        <v>4339</v>
      </c>
      <c r="F526">
        <v>1.2</v>
      </c>
      <c r="G526">
        <v>1</v>
      </c>
      <c r="H526">
        <v>5206.8</v>
      </c>
      <c r="I526">
        <v>4339</v>
      </c>
      <c r="J526">
        <v>867.8</v>
      </c>
      <c r="K526">
        <f>Table1[[#This Row],[Liters_Sold]]</f>
        <v>4339</v>
      </c>
      <c r="L526">
        <f>Table1[[#This Row],[Delivery volume]]*0.05</f>
        <v>216.95000000000002</v>
      </c>
      <c r="M526" s="16">
        <f>Table1[[#This Row],[Delivery Cost]]/Table1[[#This Row],[Revenue]]</f>
        <v>4.1666666666666671E-2</v>
      </c>
      <c r="N526" t="str">
        <f t="shared" si="8"/>
        <v>Feb</v>
      </c>
    </row>
    <row r="527" spans="1:14" x14ac:dyDescent="0.2">
      <c r="A527" s="1">
        <v>45506</v>
      </c>
      <c r="B527" t="s">
        <v>27</v>
      </c>
      <c r="C527" t="s">
        <v>11</v>
      </c>
      <c r="D527" t="s">
        <v>18</v>
      </c>
      <c r="E527">
        <v>3235</v>
      </c>
      <c r="F527">
        <v>1.2</v>
      </c>
      <c r="G527">
        <v>1</v>
      </c>
      <c r="H527">
        <v>3882</v>
      </c>
      <c r="I527">
        <v>3235</v>
      </c>
      <c r="J527">
        <v>647</v>
      </c>
      <c r="K527">
        <f>Table1[[#This Row],[Liters_Sold]]</f>
        <v>3235</v>
      </c>
      <c r="L527">
        <f>Table1[[#This Row],[Delivery volume]]*0.05</f>
        <v>161.75</v>
      </c>
      <c r="M527" s="16">
        <f>Table1[[#This Row],[Delivery Cost]]/Table1[[#This Row],[Revenue]]</f>
        <v>4.1666666666666664E-2</v>
      </c>
      <c r="N527" t="str">
        <f t="shared" si="8"/>
        <v>Aug</v>
      </c>
    </row>
    <row r="528" spans="1:14" x14ac:dyDescent="0.2">
      <c r="A528" s="1">
        <v>45628</v>
      </c>
      <c r="B528" t="s">
        <v>25</v>
      </c>
      <c r="C528" t="s">
        <v>20</v>
      </c>
      <c r="D528" t="s">
        <v>18</v>
      </c>
      <c r="E528">
        <v>3847</v>
      </c>
      <c r="F528">
        <v>1.2</v>
      </c>
      <c r="G528">
        <v>1</v>
      </c>
      <c r="H528">
        <v>4616.3999999999996</v>
      </c>
      <c r="I528">
        <v>3847</v>
      </c>
      <c r="J528">
        <v>769.39999999999895</v>
      </c>
      <c r="K528">
        <f>Table1[[#This Row],[Liters_Sold]]</f>
        <v>3847</v>
      </c>
      <c r="L528">
        <f>Table1[[#This Row],[Delivery volume]]*0.05</f>
        <v>192.35000000000002</v>
      </c>
      <c r="M528" s="16">
        <f>Table1[[#This Row],[Delivery Cost]]/Table1[[#This Row],[Revenue]]</f>
        <v>4.1666666666666678E-2</v>
      </c>
      <c r="N528" t="str">
        <f t="shared" si="8"/>
        <v>Dec</v>
      </c>
    </row>
    <row r="529" spans="1:14" x14ac:dyDescent="0.2">
      <c r="A529" s="1">
        <v>45381</v>
      </c>
      <c r="B529" t="s">
        <v>21</v>
      </c>
      <c r="C529" t="s">
        <v>20</v>
      </c>
      <c r="D529" t="s">
        <v>18</v>
      </c>
      <c r="E529">
        <v>2175</v>
      </c>
      <c r="F529">
        <v>1.2</v>
      </c>
      <c r="G529">
        <v>1</v>
      </c>
      <c r="H529">
        <v>2610</v>
      </c>
      <c r="I529">
        <v>2175</v>
      </c>
      <c r="J529">
        <v>435</v>
      </c>
      <c r="K529">
        <f>Table1[[#This Row],[Liters_Sold]]</f>
        <v>2175</v>
      </c>
      <c r="L529">
        <f>Table1[[#This Row],[Delivery volume]]*0.05</f>
        <v>108.75</v>
      </c>
      <c r="M529" s="16">
        <f>Table1[[#This Row],[Delivery Cost]]/Table1[[#This Row],[Revenue]]</f>
        <v>4.1666666666666664E-2</v>
      </c>
      <c r="N529" t="str">
        <f t="shared" si="8"/>
        <v>Mar</v>
      </c>
    </row>
    <row r="530" spans="1:14" x14ac:dyDescent="0.2">
      <c r="A530" s="1">
        <v>45555</v>
      </c>
      <c r="B530" t="s">
        <v>26</v>
      </c>
      <c r="C530" t="s">
        <v>23</v>
      </c>
      <c r="D530" t="s">
        <v>12</v>
      </c>
      <c r="E530">
        <v>798</v>
      </c>
      <c r="F530">
        <v>1.25</v>
      </c>
      <c r="G530">
        <v>1.05</v>
      </c>
      <c r="H530">
        <v>997.5</v>
      </c>
      <c r="I530">
        <v>837.9</v>
      </c>
      <c r="J530">
        <v>159.599999999999</v>
      </c>
      <c r="K530">
        <f>Table1[[#This Row],[Liters_Sold]]</f>
        <v>798</v>
      </c>
      <c r="L530">
        <f>Table1[[#This Row],[Delivery volume]]*0.05</f>
        <v>39.900000000000006</v>
      </c>
      <c r="M530" s="16">
        <f>Table1[[#This Row],[Delivery Cost]]/Table1[[#This Row],[Revenue]]</f>
        <v>4.0000000000000008E-2</v>
      </c>
      <c r="N530" t="str">
        <f t="shared" si="8"/>
        <v>Sep</v>
      </c>
    </row>
    <row r="531" spans="1:14" x14ac:dyDescent="0.2">
      <c r="A531" s="1">
        <v>45384</v>
      </c>
      <c r="B531" t="s">
        <v>13</v>
      </c>
      <c r="C531" t="s">
        <v>23</v>
      </c>
      <c r="D531" t="s">
        <v>12</v>
      </c>
      <c r="E531">
        <v>1456</v>
      </c>
      <c r="F531">
        <v>1.25</v>
      </c>
      <c r="G531">
        <v>1.05</v>
      </c>
      <c r="H531">
        <v>1820</v>
      </c>
      <c r="I531">
        <v>1528.8</v>
      </c>
      <c r="J531">
        <v>291.2</v>
      </c>
      <c r="K531">
        <f>Table1[[#This Row],[Liters_Sold]]</f>
        <v>1456</v>
      </c>
      <c r="L531">
        <f>Table1[[#This Row],[Delivery volume]]*0.05</f>
        <v>72.8</v>
      </c>
      <c r="M531" s="16">
        <f>Table1[[#This Row],[Delivery Cost]]/Table1[[#This Row],[Revenue]]</f>
        <v>0.04</v>
      </c>
      <c r="N531" t="str">
        <f t="shared" si="8"/>
        <v>Apr</v>
      </c>
    </row>
    <row r="532" spans="1:14" x14ac:dyDescent="0.2">
      <c r="A532" s="1">
        <v>45381</v>
      </c>
      <c r="B532" t="s">
        <v>10</v>
      </c>
      <c r="C532" t="s">
        <v>11</v>
      </c>
      <c r="D532" t="s">
        <v>12</v>
      </c>
      <c r="E532">
        <v>1614</v>
      </c>
      <c r="F532">
        <v>1.25</v>
      </c>
      <c r="G532">
        <v>1.05</v>
      </c>
      <c r="H532">
        <v>2017.5</v>
      </c>
      <c r="I532">
        <v>1694.7</v>
      </c>
      <c r="J532">
        <v>322.79999999999899</v>
      </c>
      <c r="K532">
        <f>Table1[[#This Row],[Liters_Sold]]</f>
        <v>1614</v>
      </c>
      <c r="L532">
        <f>Table1[[#This Row],[Delivery volume]]*0.05</f>
        <v>80.7</v>
      </c>
      <c r="M532" s="16">
        <f>Table1[[#This Row],[Delivery Cost]]/Table1[[#This Row],[Revenue]]</f>
        <v>0.04</v>
      </c>
      <c r="N532" t="str">
        <f t="shared" si="8"/>
        <v>Mar</v>
      </c>
    </row>
    <row r="533" spans="1:14" x14ac:dyDescent="0.2">
      <c r="A533" s="1">
        <v>45406</v>
      </c>
      <c r="B533" t="s">
        <v>13</v>
      </c>
      <c r="C533" t="s">
        <v>20</v>
      </c>
      <c r="D533" t="s">
        <v>12</v>
      </c>
      <c r="E533">
        <v>3005</v>
      </c>
      <c r="F533">
        <v>1.25</v>
      </c>
      <c r="G533">
        <v>1.05</v>
      </c>
      <c r="H533">
        <v>3756.25</v>
      </c>
      <c r="I533">
        <v>3155.25</v>
      </c>
      <c r="J533">
        <v>601</v>
      </c>
      <c r="K533">
        <f>Table1[[#This Row],[Liters_Sold]]</f>
        <v>3005</v>
      </c>
      <c r="L533">
        <f>Table1[[#This Row],[Delivery volume]]*0.05</f>
        <v>150.25</v>
      </c>
      <c r="M533" s="16">
        <f>Table1[[#This Row],[Delivery Cost]]/Table1[[#This Row],[Revenue]]</f>
        <v>0.04</v>
      </c>
      <c r="N533" t="str">
        <f t="shared" si="8"/>
        <v>Apr</v>
      </c>
    </row>
    <row r="534" spans="1:14" x14ac:dyDescent="0.2">
      <c r="A534" s="1">
        <v>45396</v>
      </c>
      <c r="B534" t="s">
        <v>19</v>
      </c>
      <c r="C534" t="s">
        <v>29</v>
      </c>
      <c r="D534" t="s">
        <v>12</v>
      </c>
      <c r="E534">
        <v>1974</v>
      </c>
      <c r="F534">
        <v>1.25</v>
      </c>
      <c r="G534">
        <v>1.05</v>
      </c>
      <c r="H534">
        <v>2467.5</v>
      </c>
      <c r="I534">
        <v>2072.6999999999998</v>
      </c>
      <c r="J534">
        <v>394.79999999999899</v>
      </c>
      <c r="K534">
        <f>Table1[[#This Row],[Liters_Sold]]</f>
        <v>1974</v>
      </c>
      <c r="L534">
        <f>Table1[[#This Row],[Delivery volume]]*0.05</f>
        <v>98.7</v>
      </c>
      <c r="M534" s="16">
        <f>Table1[[#This Row],[Delivery Cost]]/Table1[[#This Row],[Revenue]]</f>
        <v>0.04</v>
      </c>
      <c r="N534" t="str">
        <f t="shared" si="8"/>
        <v>Apr</v>
      </c>
    </row>
    <row r="535" spans="1:14" x14ac:dyDescent="0.2">
      <c r="A535" s="1">
        <v>45487</v>
      </c>
      <c r="B535" t="s">
        <v>19</v>
      </c>
      <c r="C535" t="s">
        <v>23</v>
      </c>
      <c r="D535" t="s">
        <v>12</v>
      </c>
      <c r="E535">
        <v>4960</v>
      </c>
      <c r="F535">
        <v>1.25</v>
      </c>
      <c r="G535">
        <v>1.05</v>
      </c>
      <c r="H535">
        <v>6200</v>
      </c>
      <c r="I535">
        <v>5208</v>
      </c>
      <c r="J535">
        <v>992</v>
      </c>
      <c r="K535">
        <f>Table1[[#This Row],[Liters_Sold]]</f>
        <v>4960</v>
      </c>
      <c r="L535">
        <f>Table1[[#This Row],[Delivery volume]]*0.05</f>
        <v>248</v>
      </c>
      <c r="M535" s="16">
        <f>Table1[[#This Row],[Delivery Cost]]/Table1[[#This Row],[Revenue]]</f>
        <v>0.04</v>
      </c>
      <c r="N535" t="str">
        <f t="shared" si="8"/>
        <v>Jul</v>
      </c>
    </row>
    <row r="536" spans="1:14" x14ac:dyDescent="0.2">
      <c r="A536" s="1">
        <v>45605</v>
      </c>
      <c r="B536" t="s">
        <v>13</v>
      </c>
      <c r="C536" t="s">
        <v>11</v>
      </c>
      <c r="D536" t="s">
        <v>12</v>
      </c>
      <c r="E536">
        <v>4946</v>
      </c>
      <c r="F536">
        <v>1.25</v>
      </c>
      <c r="G536">
        <v>1.05</v>
      </c>
      <c r="H536">
        <v>6182.5</v>
      </c>
      <c r="I536">
        <v>5193.3</v>
      </c>
      <c r="J536">
        <v>989.19999999999902</v>
      </c>
      <c r="K536">
        <f>Table1[[#This Row],[Liters_Sold]]</f>
        <v>4946</v>
      </c>
      <c r="L536">
        <f>Table1[[#This Row],[Delivery volume]]*0.05</f>
        <v>247.3</v>
      </c>
      <c r="M536" s="16">
        <f>Table1[[#This Row],[Delivery Cost]]/Table1[[#This Row],[Revenue]]</f>
        <v>0.04</v>
      </c>
      <c r="N536" t="str">
        <f t="shared" si="8"/>
        <v>Nov</v>
      </c>
    </row>
    <row r="537" spans="1:14" x14ac:dyDescent="0.2">
      <c r="A537" s="1">
        <v>45405</v>
      </c>
      <c r="B537" t="s">
        <v>16</v>
      </c>
      <c r="C537" t="s">
        <v>20</v>
      </c>
      <c r="D537" t="s">
        <v>12</v>
      </c>
      <c r="E537">
        <v>4226</v>
      </c>
      <c r="F537">
        <v>1.25</v>
      </c>
      <c r="G537">
        <v>1.05</v>
      </c>
      <c r="H537">
        <v>5282.5</v>
      </c>
      <c r="I537">
        <v>4437.3</v>
      </c>
      <c r="J537">
        <v>845.19999999999902</v>
      </c>
      <c r="K537">
        <f>Table1[[#This Row],[Liters_Sold]]</f>
        <v>4226</v>
      </c>
      <c r="L537">
        <f>Table1[[#This Row],[Delivery volume]]*0.05</f>
        <v>211.3</v>
      </c>
      <c r="M537" s="16">
        <f>Table1[[#This Row],[Delivery Cost]]/Table1[[#This Row],[Revenue]]</f>
        <v>0.04</v>
      </c>
      <c r="N537" t="str">
        <f t="shared" si="8"/>
        <v>Apr</v>
      </c>
    </row>
    <row r="538" spans="1:14" x14ac:dyDescent="0.2">
      <c r="A538" s="1">
        <v>45366</v>
      </c>
      <c r="B538" t="s">
        <v>21</v>
      </c>
      <c r="C538" t="s">
        <v>20</v>
      </c>
      <c r="D538" t="s">
        <v>18</v>
      </c>
      <c r="E538">
        <v>3971</v>
      </c>
      <c r="F538">
        <v>1.2</v>
      </c>
      <c r="G538">
        <v>1</v>
      </c>
      <c r="H538">
        <v>4765.2</v>
      </c>
      <c r="I538">
        <v>3971</v>
      </c>
      <c r="J538">
        <v>794.19999999999902</v>
      </c>
      <c r="K538">
        <f>Table1[[#This Row],[Liters_Sold]]</f>
        <v>3971</v>
      </c>
      <c r="L538">
        <f>Table1[[#This Row],[Delivery volume]]*0.05</f>
        <v>198.55</v>
      </c>
      <c r="M538" s="16">
        <f>Table1[[#This Row],[Delivery Cost]]/Table1[[#This Row],[Revenue]]</f>
        <v>4.1666666666666671E-2</v>
      </c>
      <c r="N538" t="str">
        <f t="shared" si="8"/>
        <v>Mar</v>
      </c>
    </row>
    <row r="539" spans="1:14" x14ac:dyDescent="0.2">
      <c r="A539" s="1">
        <v>45508</v>
      </c>
      <c r="B539" t="s">
        <v>32</v>
      </c>
      <c r="C539" t="s">
        <v>29</v>
      </c>
      <c r="D539" t="s">
        <v>14</v>
      </c>
      <c r="E539">
        <v>3328</v>
      </c>
      <c r="F539">
        <v>0.9</v>
      </c>
      <c r="G539">
        <v>0.7</v>
      </c>
      <c r="H539">
        <v>2995.2</v>
      </c>
      <c r="I539">
        <v>2329.6</v>
      </c>
      <c r="J539">
        <v>665.6</v>
      </c>
      <c r="K539">
        <f>Table1[[#This Row],[Liters_Sold]]</f>
        <v>3328</v>
      </c>
      <c r="L539">
        <f>Table1[[#This Row],[Delivery volume]]*0.05</f>
        <v>166.4</v>
      </c>
      <c r="M539" s="16">
        <f>Table1[[#This Row],[Delivery Cost]]/Table1[[#This Row],[Revenue]]</f>
        <v>5.5555555555555559E-2</v>
      </c>
      <c r="N539" t="str">
        <f t="shared" si="8"/>
        <v>Aug</v>
      </c>
    </row>
    <row r="540" spans="1:14" x14ac:dyDescent="0.2">
      <c r="A540" s="1">
        <v>45568</v>
      </c>
      <c r="B540" t="s">
        <v>16</v>
      </c>
      <c r="C540" t="s">
        <v>11</v>
      </c>
      <c r="D540" t="s">
        <v>12</v>
      </c>
      <c r="E540">
        <v>3350</v>
      </c>
      <c r="F540">
        <v>1.25</v>
      </c>
      <c r="G540">
        <v>1.05</v>
      </c>
      <c r="H540">
        <v>4187.5</v>
      </c>
      <c r="I540">
        <v>3517.5</v>
      </c>
      <c r="J540">
        <v>670</v>
      </c>
      <c r="K540">
        <f>Table1[[#This Row],[Liters_Sold]]</f>
        <v>3350</v>
      </c>
      <c r="L540">
        <f>Table1[[#This Row],[Delivery volume]]*0.05</f>
        <v>167.5</v>
      </c>
      <c r="M540" s="16">
        <f>Table1[[#This Row],[Delivery Cost]]/Table1[[#This Row],[Revenue]]</f>
        <v>0.04</v>
      </c>
      <c r="N540" t="str">
        <f t="shared" si="8"/>
        <v>Oct</v>
      </c>
    </row>
    <row r="541" spans="1:14" x14ac:dyDescent="0.2">
      <c r="A541" s="1">
        <v>45540</v>
      </c>
      <c r="B541" t="s">
        <v>15</v>
      </c>
      <c r="C541" t="s">
        <v>20</v>
      </c>
      <c r="D541" t="s">
        <v>14</v>
      </c>
      <c r="E541">
        <v>5607</v>
      </c>
      <c r="F541">
        <v>0.9</v>
      </c>
      <c r="G541">
        <v>0.7</v>
      </c>
      <c r="H541">
        <v>5046.3</v>
      </c>
      <c r="I541">
        <v>3924.8999999999901</v>
      </c>
      <c r="J541">
        <v>1121.4000000000001</v>
      </c>
      <c r="K541">
        <f>Table1[[#This Row],[Liters_Sold]]</f>
        <v>5607</v>
      </c>
      <c r="L541">
        <f>Table1[[#This Row],[Delivery volume]]*0.05</f>
        <v>280.35000000000002</v>
      </c>
      <c r="M541" s="16">
        <f>Table1[[#This Row],[Delivery Cost]]/Table1[[#This Row],[Revenue]]</f>
        <v>5.5555555555555559E-2</v>
      </c>
      <c r="N541" t="str">
        <f t="shared" si="8"/>
        <v>Sep</v>
      </c>
    </row>
    <row r="542" spans="1:14" x14ac:dyDescent="0.2">
      <c r="A542" s="1">
        <v>45455</v>
      </c>
      <c r="B542" t="s">
        <v>16</v>
      </c>
      <c r="C542" t="s">
        <v>23</v>
      </c>
      <c r="D542" t="s">
        <v>18</v>
      </c>
      <c r="E542">
        <v>3006</v>
      </c>
      <c r="F542">
        <v>1.2</v>
      </c>
      <c r="G542">
        <v>1</v>
      </c>
      <c r="H542">
        <v>3607.2</v>
      </c>
      <c r="I542">
        <v>3006</v>
      </c>
      <c r="J542">
        <v>601.19999999999902</v>
      </c>
      <c r="K542">
        <f>Table1[[#This Row],[Liters_Sold]]</f>
        <v>3006</v>
      </c>
      <c r="L542">
        <f>Table1[[#This Row],[Delivery volume]]*0.05</f>
        <v>150.30000000000001</v>
      </c>
      <c r="M542" s="16">
        <f>Table1[[#This Row],[Delivery Cost]]/Table1[[#This Row],[Revenue]]</f>
        <v>4.1666666666666671E-2</v>
      </c>
      <c r="N542" t="str">
        <f t="shared" si="8"/>
        <v>Jun</v>
      </c>
    </row>
    <row r="543" spans="1:14" x14ac:dyDescent="0.2">
      <c r="A543" s="1">
        <v>45648</v>
      </c>
      <c r="B543" t="s">
        <v>24</v>
      </c>
      <c r="C543" t="s">
        <v>29</v>
      </c>
      <c r="D543" t="s">
        <v>12</v>
      </c>
      <c r="E543">
        <v>4270</v>
      </c>
      <c r="F543">
        <v>1.25</v>
      </c>
      <c r="G543">
        <v>1.05</v>
      </c>
      <c r="H543">
        <v>5337.5</v>
      </c>
      <c r="I543">
        <v>4483.5</v>
      </c>
      <c r="J543">
        <v>854</v>
      </c>
      <c r="K543">
        <f>Table1[[#This Row],[Liters_Sold]]</f>
        <v>4270</v>
      </c>
      <c r="L543">
        <f>Table1[[#This Row],[Delivery volume]]*0.05</f>
        <v>213.5</v>
      </c>
      <c r="M543" s="16">
        <f>Table1[[#This Row],[Delivery Cost]]/Table1[[#This Row],[Revenue]]</f>
        <v>0.04</v>
      </c>
      <c r="N543" t="str">
        <f t="shared" si="8"/>
        <v>Dec</v>
      </c>
    </row>
    <row r="544" spans="1:14" x14ac:dyDescent="0.2">
      <c r="A544" s="1">
        <v>45483</v>
      </c>
      <c r="B544" t="s">
        <v>31</v>
      </c>
      <c r="C544" t="s">
        <v>11</v>
      </c>
      <c r="D544" t="s">
        <v>12</v>
      </c>
      <c r="E544">
        <v>3464</v>
      </c>
      <c r="F544">
        <v>1.25</v>
      </c>
      <c r="G544">
        <v>1.05</v>
      </c>
      <c r="H544">
        <v>4330</v>
      </c>
      <c r="I544">
        <v>3637.2</v>
      </c>
      <c r="J544">
        <v>692.79999999999905</v>
      </c>
      <c r="K544">
        <f>Table1[[#This Row],[Liters_Sold]]</f>
        <v>3464</v>
      </c>
      <c r="L544">
        <f>Table1[[#This Row],[Delivery volume]]*0.05</f>
        <v>173.20000000000002</v>
      </c>
      <c r="M544" s="16">
        <f>Table1[[#This Row],[Delivery Cost]]/Table1[[#This Row],[Revenue]]</f>
        <v>0.04</v>
      </c>
      <c r="N544" t="str">
        <f t="shared" si="8"/>
        <v>Jul</v>
      </c>
    </row>
    <row r="545" spans="1:14" x14ac:dyDescent="0.2">
      <c r="A545" s="1">
        <v>45518</v>
      </c>
      <c r="B545" t="s">
        <v>26</v>
      </c>
      <c r="C545" t="s">
        <v>29</v>
      </c>
      <c r="D545" t="s">
        <v>18</v>
      </c>
      <c r="E545">
        <v>5094</v>
      </c>
      <c r="F545">
        <v>1.2</v>
      </c>
      <c r="G545">
        <v>1</v>
      </c>
      <c r="H545">
        <v>6112.8</v>
      </c>
      <c r="I545">
        <v>5094</v>
      </c>
      <c r="J545">
        <v>1018.8</v>
      </c>
      <c r="K545">
        <f>Table1[[#This Row],[Liters_Sold]]</f>
        <v>5094</v>
      </c>
      <c r="L545">
        <f>Table1[[#This Row],[Delivery volume]]*0.05</f>
        <v>254.70000000000002</v>
      </c>
      <c r="M545" s="16">
        <f>Table1[[#This Row],[Delivery Cost]]/Table1[[#This Row],[Revenue]]</f>
        <v>4.1666666666666671E-2</v>
      </c>
      <c r="N545" t="str">
        <f t="shared" si="8"/>
        <v>Aug</v>
      </c>
    </row>
    <row r="546" spans="1:14" x14ac:dyDescent="0.2">
      <c r="A546" s="1">
        <v>45468</v>
      </c>
      <c r="B546" t="s">
        <v>24</v>
      </c>
      <c r="C546" t="s">
        <v>23</v>
      </c>
      <c r="D546" t="s">
        <v>18</v>
      </c>
      <c r="E546">
        <v>1449</v>
      </c>
      <c r="F546">
        <v>1.2</v>
      </c>
      <c r="G546">
        <v>1</v>
      </c>
      <c r="H546">
        <v>1738.8</v>
      </c>
      <c r="I546">
        <v>1449</v>
      </c>
      <c r="J546">
        <v>289.79999999999899</v>
      </c>
      <c r="K546">
        <f>Table1[[#This Row],[Liters_Sold]]</f>
        <v>1449</v>
      </c>
      <c r="L546">
        <f>Table1[[#This Row],[Delivery volume]]*0.05</f>
        <v>72.45</v>
      </c>
      <c r="M546" s="16">
        <f>Table1[[#This Row],[Delivery Cost]]/Table1[[#This Row],[Revenue]]</f>
        <v>4.1666666666666671E-2</v>
      </c>
      <c r="N546" t="str">
        <f t="shared" si="8"/>
        <v>Jun</v>
      </c>
    </row>
    <row r="547" spans="1:14" x14ac:dyDescent="0.2">
      <c r="A547" s="1">
        <v>45390</v>
      </c>
      <c r="B547" t="s">
        <v>27</v>
      </c>
      <c r="C547" t="s">
        <v>11</v>
      </c>
      <c r="D547" t="s">
        <v>18</v>
      </c>
      <c r="E547">
        <v>5103</v>
      </c>
      <c r="F547">
        <v>1.2</v>
      </c>
      <c r="G547">
        <v>1</v>
      </c>
      <c r="H547">
        <v>6123.5999999999904</v>
      </c>
      <c r="I547">
        <v>5103</v>
      </c>
      <c r="J547">
        <v>1020.59999999999</v>
      </c>
      <c r="K547">
        <f>Table1[[#This Row],[Liters_Sold]]</f>
        <v>5103</v>
      </c>
      <c r="L547">
        <f>Table1[[#This Row],[Delivery volume]]*0.05</f>
        <v>255.15</v>
      </c>
      <c r="M547" s="16">
        <f>Table1[[#This Row],[Delivery Cost]]/Table1[[#This Row],[Revenue]]</f>
        <v>4.1666666666666734E-2</v>
      </c>
      <c r="N547" t="str">
        <f t="shared" si="8"/>
        <v>Apr</v>
      </c>
    </row>
    <row r="548" spans="1:14" x14ac:dyDescent="0.2">
      <c r="A548" s="1">
        <v>45327</v>
      </c>
      <c r="B548" t="s">
        <v>31</v>
      </c>
      <c r="C548" t="s">
        <v>29</v>
      </c>
      <c r="D548" t="s">
        <v>12</v>
      </c>
      <c r="E548">
        <v>5923</v>
      </c>
      <c r="F548">
        <v>1.25</v>
      </c>
      <c r="G548">
        <v>1.05</v>
      </c>
      <c r="H548">
        <v>7403.75</v>
      </c>
      <c r="I548">
        <v>6219.15</v>
      </c>
      <c r="J548">
        <v>1184.5999999999899</v>
      </c>
      <c r="K548">
        <f>Table1[[#This Row],[Liters_Sold]]</f>
        <v>5923</v>
      </c>
      <c r="L548">
        <f>Table1[[#This Row],[Delivery volume]]*0.05</f>
        <v>296.15000000000003</v>
      </c>
      <c r="M548" s="16">
        <f>Table1[[#This Row],[Delivery Cost]]/Table1[[#This Row],[Revenue]]</f>
        <v>4.0000000000000008E-2</v>
      </c>
      <c r="N548" t="str">
        <f t="shared" si="8"/>
        <v>Feb</v>
      </c>
    </row>
    <row r="549" spans="1:14" x14ac:dyDescent="0.2">
      <c r="A549" s="1">
        <v>45387</v>
      </c>
      <c r="B549" t="s">
        <v>31</v>
      </c>
      <c r="C549" t="s">
        <v>17</v>
      </c>
      <c r="D549" t="s">
        <v>12</v>
      </c>
      <c r="E549">
        <v>3350</v>
      </c>
      <c r="F549">
        <v>1.25</v>
      </c>
      <c r="G549">
        <v>1.05</v>
      </c>
      <c r="H549">
        <v>4187.5</v>
      </c>
      <c r="I549">
        <v>3517.5</v>
      </c>
      <c r="J549">
        <v>670</v>
      </c>
      <c r="K549">
        <f>Table1[[#This Row],[Liters_Sold]]</f>
        <v>3350</v>
      </c>
      <c r="L549">
        <f>Table1[[#This Row],[Delivery volume]]*0.05</f>
        <v>167.5</v>
      </c>
      <c r="M549" s="16">
        <f>Table1[[#This Row],[Delivery Cost]]/Table1[[#This Row],[Revenue]]</f>
        <v>0.04</v>
      </c>
      <c r="N549" t="str">
        <f t="shared" si="8"/>
        <v>Apr</v>
      </c>
    </row>
    <row r="550" spans="1:14" x14ac:dyDescent="0.2">
      <c r="A550" s="1">
        <v>45443</v>
      </c>
      <c r="B550" t="s">
        <v>25</v>
      </c>
      <c r="C550" t="s">
        <v>23</v>
      </c>
      <c r="D550" t="s">
        <v>12</v>
      </c>
      <c r="E550">
        <v>665</v>
      </c>
      <c r="F550">
        <v>1.25</v>
      </c>
      <c r="G550">
        <v>1.05</v>
      </c>
      <c r="H550">
        <v>831.25</v>
      </c>
      <c r="I550">
        <v>698.25</v>
      </c>
      <c r="J550">
        <v>133</v>
      </c>
      <c r="K550">
        <f>Table1[[#This Row],[Liters_Sold]]</f>
        <v>665</v>
      </c>
      <c r="L550">
        <f>Table1[[#This Row],[Delivery volume]]*0.05</f>
        <v>33.25</v>
      </c>
      <c r="M550" s="16">
        <f>Table1[[#This Row],[Delivery Cost]]/Table1[[#This Row],[Revenue]]</f>
        <v>0.04</v>
      </c>
      <c r="N550" t="str">
        <f t="shared" si="8"/>
        <v>May</v>
      </c>
    </row>
    <row r="551" spans="1:14" x14ac:dyDescent="0.2">
      <c r="A551" s="1">
        <v>45442</v>
      </c>
      <c r="B551" t="s">
        <v>21</v>
      </c>
      <c r="C551" t="s">
        <v>23</v>
      </c>
      <c r="D551" t="s">
        <v>12</v>
      </c>
      <c r="E551">
        <v>3986</v>
      </c>
      <c r="F551">
        <v>1.25</v>
      </c>
      <c r="G551">
        <v>1.05</v>
      </c>
      <c r="H551">
        <v>4982.5</v>
      </c>
      <c r="I551">
        <v>4185.3</v>
      </c>
      <c r="J551">
        <v>797.19999999999902</v>
      </c>
      <c r="K551">
        <f>Table1[[#This Row],[Liters_Sold]]</f>
        <v>3986</v>
      </c>
      <c r="L551">
        <f>Table1[[#This Row],[Delivery volume]]*0.05</f>
        <v>199.3</v>
      </c>
      <c r="M551" s="16">
        <f>Table1[[#This Row],[Delivery Cost]]/Table1[[#This Row],[Revenue]]</f>
        <v>0.04</v>
      </c>
      <c r="N551" t="str">
        <f t="shared" si="8"/>
        <v>May</v>
      </c>
    </row>
    <row r="552" spans="1:14" x14ac:dyDescent="0.2">
      <c r="A552" s="1">
        <v>45481</v>
      </c>
      <c r="B552" t="s">
        <v>21</v>
      </c>
      <c r="C552" t="s">
        <v>23</v>
      </c>
      <c r="D552" t="s">
        <v>12</v>
      </c>
      <c r="E552">
        <v>3009</v>
      </c>
      <c r="F552">
        <v>1.25</v>
      </c>
      <c r="G552">
        <v>1.05</v>
      </c>
      <c r="H552">
        <v>3761.25</v>
      </c>
      <c r="I552">
        <v>3159.45</v>
      </c>
      <c r="J552">
        <v>601.79999999999905</v>
      </c>
      <c r="K552">
        <f>Table1[[#This Row],[Liters_Sold]]</f>
        <v>3009</v>
      </c>
      <c r="L552">
        <f>Table1[[#This Row],[Delivery volume]]*0.05</f>
        <v>150.45000000000002</v>
      </c>
      <c r="M552" s="16">
        <f>Table1[[#This Row],[Delivery Cost]]/Table1[[#This Row],[Revenue]]</f>
        <v>4.0000000000000008E-2</v>
      </c>
      <c r="N552" t="str">
        <f t="shared" si="8"/>
        <v>Jul</v>
      </c>
    </row>
    <row r="553" spans="1:14" x14ac:dyDescent="0.2">
      <c r="A553" s="1">
        <v>45515</v>
      </c>
      <c r="B553" t="s">
        <v>31</v>
      </c>
      <c r="C553" t="s">
        <v>17</v>
      </c>
      <c r="D553" t="s">
        <v>12</v>
      </c>
      <c r="E553">
        <v>1419</v>
      </c>
      <c r="F553">
        <v>1.25</v>
      </c>
      <c r="G553">
        <v>1.05</v>
      </c>
      <c r="H553">
        <v>1773.75</v>
      </c>
      <c r="I553">
        <v>1489.95</v>
      </c>
      <c r="J553">
        <v>283.79999999999899</v>
      </c>
      <c r="K553">
        <f>Table1[[#This Row],[Liters_Sold]]</f>
        <v>1419</v>
      </c>
      <c r="L553">
        <f>Table1[[#This Row],[Delivery volume]]*0.05</f>
        <v>70.95</v>
      </c>
      <c r="M553" s="16">
        <f>Table1[[#This Row],[Delivery Cost]]/Table1[[#This Row],[Revenue]]</f>
        <v>0.04</v>
      </c>
      <c r="N553" t="str">
        <f t="shared" si="8"/>
        <v>Aug</v>
      </c>
    </row>
    <row r="554" spans="1:14" x14ac:dyDescent="0.2">
      <c r="A554" s="1">
        <v>45328</v>
      </c>
      <c r="B554" t="s">
        <v>15</v>
      </c>
      <c r="C554" t="s">
        <v>17</v>
      </c>
      <c r="D554" t="s">
        <v>18</v>
      </c>
      <c r="E554">
        <v>613</v>
      </c>
      <c r="F554">
        <v>1.2</v>
      </c>
      <c r="G554">
        <v>1</v>
      </c>
      <c r="H554">
        <v>735.6</v>
      </c>
      <c r="I554">
        <v>613</v>
      </c>
      <c r="J554">
        <v>122.6</v>
      </c>
      <c r="K554">
        <f>Table1[[#This Row],[Liters_Sold]]</f>
        <v>613</v>
      </c>
      <c r="L554">
        <f>Table1[[#This Row],[Delivery volume]]*0.05</f>
        <v>30.650000000000002</v>
      </c>
      <c r="M554" s="16">
        <f>Table1[[#This Row],[Delivery Cost]]/Table1[[#This Row],[Revenue]]</f>
        <v>4.1666666666666671E-2</v>
      </c>
      <c r="N554" t="str">
        <f t="shared" si="8"/>
        <v>Feb</v>
      </c>
    </row>
    <row r="555" spans="1:14" x14ac:dyDescent="0.2">
      <c r="A555" s="1">
        <v>45559</v>
      </c>
      <c r="B555" t="s">
        <v>16</v>
      </c>
      <c r="C555" t="s">
        <v>20</v>
      </c>
      <c r="D555" t="s">
        <v>14</v>
      </c>
      <c r="E555">
        <v>4004</v>
      </c>
      <c r="F555">
        <v>0.9</v>
      </c>
      <c r="G555">
        <v>0.7</v>
      </c>
      <c r="H555">
        <v>3603.6</v>
      </c>
      <c r="I555">
        <v>2802.7999999999902</v>
      </c>
      <c r="J555">
        <v>800.8</v>
      </c>
      <c r="K555">
        <f>Table1[[#This Row],[Liters_Sold]]</f>
        <v>4004</v>
      </c>
      <c r="L555">
        <f>Table1[[#This Row],[Delivery volume]]*0.05</f>
        <v>200.20000000000002</v>
      </c>
      <c r="M555" s="16">
        <f>Table1[[#This Row],[Delivery Cost]]/Table1[[#This Row],[Revenue]]</f>
        <v>5.5555555555555559E-2</v>
      </c>
      <c r="N555" t="str">
        <f t="shared" si="8"/>
        <v>Sep</v>
      </c>
    </row>
    <row r="556" spans="1:14" x14ac:dyDescent="0.2">
      <c r="A556" s="1">
        <v>45474</v>
      </c>
      <c r="B556" t="s">
        <v>25</v>
      </c>
      <c r="C556" t="s">
        <v>29</v>
      </c>
      <c r="D556" t="s">
        <v>12</v>
      </c>
      <c r="E556">
        <v>1491</v>
      </c>
      <c r="F556">
        <v>1.25</v>
      </c>
      <c r="G556">
        <v>1.05</v>
      </c>
      <c r="H556">
        <v>1863.75</v>
      </c>
      <c r="I556">
        <v>1565.55</v>
      </c>
      <c r="J556">
        <v>298.2</v>
      </c>
      <c r="K556">
        <f>Table1[[#This Row],[Liters_Sold]]</f>
        <v>1491</v>
      </c>
      <c r="L556">
        <f>Table1[[#This Row],[Delivery volume]]*0.05</f>
        <v>74.55</v>
      </c>
      <c r="M556" s="16">
        <f>Table1[[#This Row],[Delivery Cost]]/Table1[[#This Row],[Revenue]]</f>
        <v>0.04</v>
      </c>
      <c r="N556" t="str">
        <f t="shared" si="8"/>
        <v>Jul</v>
      </c>
    </row>
    <row r="557" spans="1:14" x14ac:dyDescent="0.2">
      <c r="A557" s="1">
        <v>45304</v>
      </c>
      <c r="B557" t="s">
        <v>26</v>
      </c>
      <c r="C557" t="s">
        <v>20</v>
      </c>
      <c r="D557" t="s">
        <v>14</v>
      </c>
      <c r="E557">
        <v>4339</v>
      </c>
      <c r="F557">
        <v>0.9</v>
      </c>
      <c r="G557">
        <v>0.7</v>
      </c>
      <c r="H557">
        <v>3905.1</v>
      </c>
      <c r="I557">
        <v>3037.2999999999902</v>
      </c>
      <c r="J557">
        <v>867.8</v>
      </c>
      <c r="K557">
        <f>Table1[[#This Row],[Liters_Sold]]</f>
        <v>4339</v>
      </c>
      <c r="L557">
        <f>Table1[[#This Row],[Delivery volume]]*0.05</f>
        <v>216.95000000000002</v>
      </c>
      <c r="M557" s="16">
        <f>Table1[[#This Row],[Delivery Cost]]/Table1[[#This Row],[Revenue]]</f>
        <v>5.5555555555555559E-2</v>
      </c>
      <c r="N557" t="str">
        <f t="shared" si="8"/>
        <v>Jan</v>
      </c>
    </row>
    <row r="558" spans="1:14" x14ac:dyDescent="0.2">
      <c r="A558" s="1">
        <v>45570</v>
      </c>
      <c r="B558" t="s">
        <v>31</v>
      </c>
      <c r="C558" t="s">
        <v>29</v>
      </c>
      <c r="D558" t="s">
        <v>12</v>
      </c>
      <c r="E558">
        <v>1758</v>
      </c>
      <c r="F558">
        <v>1.25</v>
      </c>
      <c r="G558">
        <v>1.05</v>
      </c>
      <c r="H558">
        <v>2197.5</v>
      </c>
      <c r="I558">
        <v>1845.9</v>
      </c>
      <c r="J558">
        <v>351.599999999999</v>
      </c>
      <c r="K558">
        <f>Table1[[#This Row],[Liters_Sold]]</f>
        <v>1758</v>
      </c>
      <c r="L558">
        <f>Table1[[#This Row],[Delivery volume]]*0.05</f>
        <v>87.9</v>
      </c>
      <c r="M558" s="16">
        <f>Table1[[#This Row],[Delivery Cost]]/Table1[[#This Row],[Revenue]]</f>
        <v>0.04</v>
      </c>
      <c r="N558" t="str">
        <f t="shared" si="8"/>
        <v>Oct</v>
      </c>
    </row>
    <row r="559" spans="1:14" x14ac:dyDescent="0.2">
      <c r="A559" s="1">
        <v>45508</v>
      </c>
      <c r="B559" t="s">
        <v>28</v>
      </c>
      <c r="C559" t="s">
        <v>17</v>
      </c>
      <c r="D559" t="s">
        <v>12</v>
      </c>
      <c r="E559">
        <v>3926</v>
      </c>
      <c r="F559">
        <v>1.25</v>
      </c>
      <c r="G559">
        <v>1.05</v>
      </c>
      <c r="H559">
        <v>4907.5</v>
      </c>
      <c r="I559">
        <v>4122.3</v>
      </c>
      <c r="J559">
        <v>785.19999999999902</v>
      </c>
      <c r="K559">
        <f>Table1[[#This Row],[Liters_Sold]]</f>
        <v>3926</v>
      </c>
      <c r="L559">
        <f>Table1[[#This Row],[Delivery volume]]*0.05</f>
        <v>196.3</v>
      </c>
      <c r="M559" s="16">
        <f>Table1[[#This Row],[Delivery Cost]]/Table1[[#This Row],[Revenue]]</f>
        <v>0.04</v>
      </c>
      <c r="N559" t="str">
        <f t="shared" si="8"/>
        <v>Aug</v>
      </c>
    </row>
    <row r="560" spans="1:14" x14ac:dyDescent="0.2">
      <c r="A560" s="1">
        <v>45646</v>
      </c>
      <c r="B560" t="s">
        <v>19</v>
      </c>
      <c r="C560" t="s">
        <v>17</v>
      </c>
      <c r="D560" t="s">
        <v>12</v>
      </c>
      <c r="E560">
        <v>1014</v>
      </c>
      <c r="F560">
        <v>1.25</v>
      </c>
      <c r="G560">
        <v>1.05</v>
      </c>
      <c r="H560">
        <v>1267.5</v>
      </c>
      <c r="I560">
        <v>1064.7</v>
      </c>
      <c r="J560">
        <v>202.79999999999899</v>
      </c>
      <c r="K560">
        <f>Table1[[#This Row],[Liters_Sold]]</f>
        <v>1014</v>
      </c>
      <c r="L560">
        <f>Table1[[#This Row],[Delivery volume]]*0.05</f>
        <v>50.7</v>
      </c>
      <c r="M560" s="16">
        <f>Table1[[#This Row],[Delivery Cost]]/Table1[[#This Row],[Revenue]]</f>
        <v>0.04</v>
      </c>
      <c r="N560" t="str">
        <f t="shared" si="8"/>
        <v>Dec</v>
      </c>
    </row>
    <row r="561" spans="1:14" x14ac:dyDescent="0.2">
      <c r="A561" s="1">
        <v>45652</v>
      </c>
      <c r="B561" t="s">
        <v>19</v>
      </c>
      <c r="C561" t="s">
        <v>20</v>
      </c>
      <c r="D561" t="s">
        <v>18</v>
      </c>
      <c r="E561">
        <v>5827</v>
      </c>
      <c r="F561">
        <v>1.2</v>
      </c>
      <c r="G561">
        <v>1</v>
      </c>
      <c r="H561">
        <v>6992.4</v>
      </c>
      <c r="I561">
        <v>5827</v>
      </c>
      <c r="J561">
        <v>1165.3999999999901</v>
      </c>
      <c r="K561">
        <f>Table1[[#This Row],[Liters_Sold]]</f>
        <v>5827</v>
      </c>
      <c r="L561">
        <f>Table1[[#This Row],[Delivery volume]]*0.05</f>
        <v>291.35000000000002</v>
      </c>
      <c r="M561" s="16">
        <f>Table1[[#This Row],[Delivery Cost]]/Table1[[#This Row],[Revenue]]</f>
        <v>4.1666666666666671E-2</v>
      </c>
      <c r="N561" t="str">
        <f t="shared" si="8"/>
        <v>Dec</v>
      </c>
    </row>
    <row r="562" spans="1:14" x14ac:dyDescent="0.2">
      <c r="A562" s="1">
        <v>45577</v>
      </c>
      <c r="B562" t="s">
        <v>24</v>
      </c>
      <c r="C562" t="s">
        <v>11</v>
      </c>
      <c r="D562" t="s">
        <v>14</v>
      </c>
      <c r="E562">
        <v>5304</v>
      </c>
      <c r="F562">
        <v>0.9</v>
      </c>
      <c r="G562">
        <v>0.7</v>
      </c>
      <c r="H562">
        <v>4773.6000000000004</v>
      </c>
      <c r="I562">
        <v>3712.7999999999902</v>
      </c>
      <c r="J562">
        <v>1060.8</v>
      </c>
      <c r="K562">
        <f>Table1[[#This Row],[Liters_Sold]]</f>
        <v>5304</v>
      </c>
      <c r="L562">
        <f>Table1[[#This Row],[Delivery volume]]*0.05</f>
        <v>265.2</v>
      </c>
      <c r="M562" s="16">
        <f>Table1[[#This Row],[Delivery Cost]]/Table1[[#This Row],[Revenue]]</f>
        <v>5.5555555555555546E-2</v>
      </c>
      <c r="N562" t="str">
        <f t="shared" si="8"/>
        <v>Oct</v>
      </c>
    </row>
    <row r="563" spans="1:14" x14ac:dyDescent="0.2">
      <c r="A563" s="1">
        <v>45564</v>
      </c>
      <c r="B563" t="s">
        <v>27</v>
      </c>
      <c r="C563" t="s">
        <v>20</v>
      </c>
      <c r="D563" t="s">
        <v>18</v>
      </c>
      <c r="E563">
        <v>3696</v>
      </c>
      <c r="F563">
        <v>1.2</v>
      </c>
      <c r="G563">
        <v>1</v>
      </c>
      <c r="H563">
        <v>4435.2</v>
      </c>
      <c r="I563">
        <v>3696</v>
      </c>
      <c r="J563">
        <v>739.19999999999902</v>
      </c>
      <c r="K563">
        <f>Table1[[#This Row],[Liters_Sold]]</f>
        <v>3696</v>
      </c>
      <c r="L563">
        <f>Table1[[#This Row],[Delivery volume]]*0.05</f>
        <v>184.8</v>
      </c>
      <c r="M563" s="16">
        <f>Table1[[#This Row],[Delivery Cost]]/Table1[[#This Row],[Revenue]]</f>
        <v>4.1666666666666671E-2</v>
      </c>
      <c r="N563" t="str">
        <f t="shared" si="8"/>
        <v>Sep</v>
      </c>
    </row>
    <row r="564" spans="1:14" x14ac:dyDescent="0.2">
      <c r="A564" s="1">
        <v>45353</v>
      </c>
      <c r="B564" t="s">
        <v>30</v>
      </c>
      <c r="C564" t="s">
        <v>29</v>
      </c>
      <c r="D564" t="s">
        <v>12</v>
      </c>
      <c r="E564">
        <v>4934</v>
      </c>
      <c r="F564">
        <v>1.25</v>
      </c>
      <c r="G564">
        <v>1.05</v>
      </c>
      <c r="H564">
        <v>6167.5</v>
      </c>
      <c r="I564">
        <v>5180.7</v>
      </c>
      <c r="J564">
        <v>986.8</v>
      </c>
      <c r="K564">
        <f>Table1[[#This Row],[Liters_Sold]]</f>
        <v>4934</v>
      </c>
      <c r="L564">
        <f>Table1[[#This Row],[Delivery volume]]*0.05</f>
        <v>246.70000000000002</v>
      </c>
      <c r="M564" s="16">
        <f>Table1[[#This Row],[Delivery Cost]]/Table1[[#This Row],[Revenue]]</f>
        <v>0.04</v>
      </c>
      <c r="N564" t="str">
        <f t="shared" si="8"/>
        <v>Mar</v>
      </c>
    </row>
    <row r="565" spans="1:14" x14ac:dyDescent="0.2">
      <c r="A565" s="1">
        <v>45375</v>
      </c>
      <c r="B565" t="s">
        <v>30</v>
      </c>
      <c r="C565" t="s">
        <v>20</v>
      </c>
      <c r="D565" t="s">
        <v>18</v>
      </c>
      <c r="E565">
        <v>3084</v>
      </c>
      <c r="F565">
        <v>1.2</v>
      </c>
      <c r="G565">
        <v>1</v>
      </c>
      <c r="H565">
        <v>3700.7999999999902</v>
      </c>
      <c r="I565">
        <v>3084</v>
      </c>
      <c r="J565">
        <v>616.79999999999905</v>
      </c>
      <c r="K565">
        <f>Table1[[#This Row],[Liters_Sold]]</f>
        <v>3084</v>
      </c>
      <c r="L565">
        <f>Table1[[#This Row],[Delivery volume]]*0.05</f>
        <v>154.20000000000002</v>
      </c>
      <c r="M565" s="16">
        <f>Table1[[#This Row],[Delivery Cost]]/Table1[[#This Row],[Revenue]]</f>
        <v>4.1666666666666782E-2</v>
      </c>
      <c r="N565" t="str">
        <f t="shared" si="8"/>
        <v>Mar</v>
      </c>
    </row>
    <row r="566" spans="1:14" x14ac:dyDescent="0.2">
      <c r="A566" s="1">
        <v>45508</v>
      </c>
      <c r="B566" t="s">
        <v>19</v>
      </c>
      <c r="C566" t="s">
        <v>23</v>
      </c>
      <c r="D566" t="s">
        <v>12</v>
      </c>
      <c r="E566">
        <v>567</v>
      </c>
      <c r="F566">
        <v>1.25</v>
      </c>
      <c r="G566">
        <v>1.05</v>
      </c>
      <c r="H566">
        <v>708.75</v>
      </c>
      <c r="I566">
        <v>595.35</v>
      </c>
      <c r="J566">
        <v>113.399999999999</v>
      </c>
      <c r="K566">
        <f>Table1[[#This Row],[Liters_Sold]]</f>
        <v>567</v>
      </c>
      <c r="L566">
        <f>Table1[[#This Row],[Delivery volume]]*0.05</f>
        <v>28.35</v>
      </c>
      <c r="M566" s="16">
        <f>Table1[[#This Row],[Delivery Cost]]/Table1[[#This Row],[Revenue]]</f>
        <v>0.04</v>
      </c>
      <c r="N566" t="str">
        <f t="shared" si="8"/>
        <v>Aug</v>
      </c>
    </row>
    <row r="567" spans="1:14" x14ac:dyDescent="0.2">
      <c r="A567" s="1">
        <v>45633</v>
      </c>
      <c r="B567" t="s">
        <v>32</v>
      </c>
      <c r="C567" t="s">
        <v>29</v>
      </c>
      <c r="D567" t="s">
        <v>14</v>
      </c>
      <c r="E567">
        <v>2096</v>
      </c>
      <c r="F567">
        <v>0.9</v>
      </c>
      <c r="G567">
        <v>0.7</v>
      </c>
      <c r="H567">
        <v>1886.4</v>
      </c>
      <c r="I567">
        <v>1467.19999999999</v>
      </c>
      <c r="J567">
        <v>419.2</v>
      </c>
      <c r="K567">
        <f>Table1[[#This Row],[Liters_Sold]]</f>
        <v>2096</v>
      </c>
      <c r="L567">
        <f>Table1[[#This Row],[Delivery volume]]*0.05</f>
        <v>104.80000000000001</v>
      </c>
      <c r="M567" s="16">
        <f>Table1[[#This Row],[Delivery Cost]]/Table1[[#This Row],[Revenue]]</f>
        <v>5.5555555555555559E-2</v>
      </c>
      <c r="N567" t="str">
        <f t="shared" si="8"/>
        <v>Dec</v>
      </c>
    </row>
    <row r="568" spans="1:14" x14ac:dyDescent="0.2">
      <c r="A568" s="1">
        <v>45478</v>
      </c>
      <c r="B568" t="s">
        <v>22</v>
      </c>
      <c r="C568" t="s">
        <v>29</v>
      </c>
      <c r="D568" t="s">
        <v>18</v>
      </c>
      <c r="E568">
        <v>4978</v>
      </c>
      <c r="F568">
        <v>1.2</v>
      </c>
      <c r="G568">
        <v>1</v>
      </c>
      <c r="H568">
        <v>5973.5999999999904</v>
      </c>
      <c r="I568">
        <v>4978</v>
      </c>
      <c r="J568">
        <v>995.599999999999</v>
      </c>
      <c r="K568">
        <f>Table1[[#This Row],[Liters_Sold]]</f>
        <v>4978</v>
      </c>
      <c r="L568">
        <f>Table1[[#This Row],[Delivery volume]]*0.05</f>
        <v>248.9</v>
      </c>
      <c r="M568" s="16">
        <f>Table1[[#This Row],[Delivery Cost]]/Table1[[#This Row],[Revenue]]</f>
        <v>4.1666666666666734E-2</v>
      </c>
      <c r="N568" t="str">
        <f t="shared" si="8"/>
        <v>Jul</v>
      </c>
    </row>
    <row r="569" spans="1:14" x14ac:dyDescent="0.2">
      <c r="A569" s="1">
        <v>45310</v>
      </c>
      <c r="B569" t="s">
        <v>24</v>
      </c>
      <c r="C569" t="s">
        <v>11</v>
      </c>
      <c r="D569" t="s">
        <v>12</v>
      </c>
      <c r="E569">
        <v>518</v>
      </c>
      <c r="F569">
        <v>1.25</v>
      </c>
      <c r="G569">
        <v>1.05</v>
      </c>
      <c r="H569">
        <v>647.5</v>
      </c>
      <c r="I569">
        <v>543.9</v>
      </c>
      <c r="J569">
        <v>103.6</v>
      </c>
      <c r="K569">
        <f>Table1[[#This Row],[Liters_Sold]]</f>
        <v>518</v>
      </c>
      <c r="L569">
        <f>Table1[[#This Row],[Delivery volume]]*0.05</f>
        <v>25.900000000000002</v>
      </c>
      <c r="M569" s="16">
        <f>Table1[[#This Row],[Delivery Cost]]/Table1[[#This Row],[Revenue]]</f>
        <v>0.04</v>
      </c>
      <c r="N569" t="str">
        <f t="shared" si="8"/>
        <v>Jan</v>
      </c>
    </row>
    <row r="570" spans="1:14" x14ac:dyDescent="0.2">
      <c r="A570" s="1">
        <v>45468</v>
      </c>
      <c r="B570" t="s">
        <v>30</v>
      </c>
      <c r="C570" t="s">
        <v>17</v>
      </c>
      <c r="D570" t="s">
        <v>18</v>
      </c>
      <c r="E570">
        <v>3230</v>
      </c>
      <c r="F570">
        <v>1.2</v>
      </c>
      <c r="G570">
        <v>1</v>
      </c>
      <c r="H570">
        <v>3876</v>
      </c>
      <c r="I570">
        <v>3230</v>
      </c>
      <c r="J570">
        <v>646</v>
      </c>
      <c r="K570">
        <f>Table1[[#This Row],[Liters_Sold]]</f>
        <v>3230</v>
      </c>
      <c r="L570">
        <f>Table1[[#This Row],[Delivery volume]]*0.05</f>
        <v>161.5</v>
      </c>
      <c r="M570" s="16">
        <f>Table1[[#This Row],[Delivery Cost]]/Table1[[#This Row],[Revenue]]</f>
        <v>4.1666666666666664E-2</v>
      </c>
      <c r="N570" t="str">
        <f t="shared" si="8"/>
        <v>Jun</v>
      </c>
    </row>
    <row r="571" spans="1:14" x14ac:dyDescent="0.2">
      <c r="A571" s="1">
        <v>45391</v>
      </c>
      <c r="B571" t="s">
        <v>19</v>
      </c>
      <c r="C571" t="s">
        <v>29</v>
      </c>
      <c r="D571" t="s">
        <v>18</v>
      </c>
      <c r="E571">
        <v>4021</v>
      </c>
      <c r="F571">
        <v>1.2</v>
      </c>
      <c r="G571">
        <v>1</v>
      </c>
      <c r="H571">
        <v>4825.2</v>
      </c>
      <c r="I571">
        <v>4021</v>
      </c>
      <c r="J571">
        <v>804.19999999999902</v>
      </c>
      <c r="K571">
        <f>Table1[[#This Row],[Liters_Sold]]</f>
        <v>4021</v>
      </c>
      <c r="L571">
        <f>Table1[[#This Row],[Delivery volume]]*0.05</f>
        <v>201.05</v>
      </c>
      <c r="M571" s="16">
        <f>Table1[[#This Row],[Delivery Cost]]/Table1[[#This Row],[Revenue]]</f>
        <v>4.1666666666666671E-2</v>
      </c>
      <c r="N571" t="str">
        <f t="shared" si="8"/>
        <v>Apr</v>
      </c>
    </row>
    <row r="572" spans="1:14" x14ac:dyDescent="0.2">
      <c r="A572" s="1">
        <v>45524</v>
      </c>
      <c r="B572" t="s">
        <v>27</v>
      </c>
      <c r="C572" t="s">
        <v>17</v>
      </c>
      <c r="D572" t="s">
        <v>12</v>
      </c>
      <c r="E572">
        <v>1072</v>
      </c>
      <c r="F572">
        <v>1.25</v>
      </c>
      <c r="G572">
        <v>1.05</v>
      </c>
      <c r="H572">
        <v>1340</v>
      </c>
      <c r="I572">
        <v>1125.5999999999999</v>
      </c>
      <c r="J572">
        <v>214.39999999999901</v>
      </c>
      <c r="K572">
        <f>Table1[[#This Row],[Liters_Sold]]</f>
        <v>1072</v>
      </c>
      <c r="L572">
        <f>Table1[[#This Row],[Delivery volume]]*0.05</f>
        <v>53.6</v>
      </c>
      <c r="M572" s="16">
        <f>Table1[[#This Row],[Delivery Cost]]/Table1[[#This Row],[Revenue]]</f>
        <v>0.04</v>
      </c>
      <c r="N572" t="str">
        <f t="shared" si="8"/>
        <v>Aug</v>
      </c>
    </row>
    <row r="573" spans="1:14" x14ac:dyDescent="0.2">
      <c r="A573" s="1">
        <v>45367</v>
      </c>
      <c r="B573" t="s">
        <v>30</v>
      </c>
      <c r="C573" t="s">
        <v>20</v>
      </c>
      <c r="D573" t="s">
        <v>18</v>
      </c>
      <c r="E573">
        <v>5895</v>
      </c>
      <c r="F573">
        <v>1.2</v>
      </c>
      <c r="G573">
        <v>1</v>
      </c>
      <c r="H573">
        <v>7074</v>
      </c>
      <c r="I573">
        <v>5895</v>
      </c>
      <c r="J573">
        <v>1179</v>
      </c>
      <c r="K573">
        <f>Table1[[#This Row],[Liters_Sold]]</f>
        <v>5895</v>
      </c>
      <c r="L573">
        <f>Table1[[#This Row],[Delivery volume]]*0.05</f>
        <v>294.75</v>
      </c>
      <c r="M573" s="16">
        <f>Table1[[#This Row],[Delivery Cost]]/Table1[[#This Row],[Revenue]]</f>
        <v>4.1666666666666664E-2</v>
      </c>
      <c r="N573" t="str">
        <f t="shared" si="8"/>
        <v>Mar</v>
      </c>
    </row>
    <row r="574" spans="1:14" x14ac:dyDescent="0.2">
      <c r="A574" s="1">
        <v>45556</v>
      </c>
      <c r="B574" t="s">
        <v>16</v>
      </c>
      <c r="C574" t="s">
        <v>23</v>
      </c>
      <c r="D574" t="s">
        <v>12</v>
      </c>
      <c r="E574">
        <v>2758</v>
      </c>
      <c r="F574">
        <v>1.25</v>
      </c>
      <c r="G574">
        <v>1.05</v>
      </c>
      <c r="H574">
        <v>3447.5</v>
      </c>
      <c r="I574">
        <v>2895.9</v>
      </c>
      <c r="J574">
        <v>551.599999999999</v>
      </c>
      <c r="K574">
        <f>Table1[[#This Row],[Liters_Sold]]</f>
        <v>2758</v>
      </c>
      <c r="L574">
        <f>Table1[[#This Row],[Delivery volume]]*0.05</f>
        <v>137.9</v>
      </c>
      <c r="M574" s="16">
        <f>Table1[[#This Row],[Delivery Cost]]/Table1[[#This Row],[Revenue]]</f>
        <v>0.04</v>
      </c>
      <c r="N574" t="str">
        <f t="shared" si="8"/>
        <v>Sep</v>
      </c>
    </row>
    <row r="575" spans="1:14" x14ac:dyDescent="0.2">
      <c r="A575" s="1">
        <v>45575</v>
      </c>
      <c r="B575" t="s">
        <v>16</v>
      </c>
      <c r="C575" t="s">
        <v>11</v>
      </c>
      <c r="D575" t="s">
        <v>18</v>
      </c>
      <c r="E575">
        <v>3402</v>
      </c>
      <c r="F575">
        <v>1.2</v>
      </c>
      <c r="G575">
        <v>1</v>
      </c>
      <c r="H575">
        <v>4082.3999999999901</v>
      </c>
      <c r="I575">
        <v>3402</v>
      </c>
      <c r="J575">
        <v>680.39999999999895</v>
      </c>
      <c r="K575">
        <f>Table1[[#This Row],[Liters_Sold]]</f>
        <v>3402</v>
      </c>
      <c r="L575">
        <f>Table1[[#This Row],[Delivery volume]]*0.05</f>
        <v>170.10000000000002</v>
      </c>
      <c r="M575" s="16">
        <f>Table1[[#This Row],[Delivery Cost]]/Table1[[#This Row],[Revenue]]</f>
        <v>4.1666666666666775E-2</v>
      </c>
      <c r="N575" t="str">
        <f t="shared" si="8"/>
        <v>Oct</v>
      </c>
    </row>
    <row r="576" spans="1:14" x14ac:dyDescent="0.2">
      <c r="A576" s="1">
        <v>45497</v>
      </c>
      <c r="B576" t="s">
        <v>21</v>
      </c>
      <c r="C576" t="s">
        <v>17</v>
      </c>
      <c r="D576" t="s">
        <v>18</v>
      </c>
      <c r="E576">
        <v>1150</v>
      </c>
      <c r="F576">
        <v>1.2</v>
      </c>
      <c r="G576">
        <v>1</v>
      </c>
      <c r="H576">
        <v>1380</v>
      </c>
      <c r="I576">
        <v>1150</v>
      </c>
      <c r="J576">
        <v>230</v>
      </c>
      <c r="K576">
        <f>Table1[[#This Row],[Liters_Sold]]</f>
        <v>1150</v>
      </c>
      <c r="L576">
        <f>Table1[[#This Row],[Delivery volume]]*0.05</f>
        <v>57.5</v>
      </c>
      <c r="M576" s="16">
        <f>Table1[[#This Row],[Delivery Cost]]/Table1[[#This Row],[Revenue]]</f>
        <v>4.1666666666666664E-2</v>
      </c>
      <c r="N576" t="str">
        <f t="shared" si="8"/>
        <v>Jul</v>
      </c>
    </row>
    <row r="577" spans="1:14" x14ac:dyDescent="0.2">
      <c r="A577" s="1">
        <v>45514</v>
      </c>
      <c r="B577" t="s">
        <v>15</v>
      </c>
      <c r="C577" t="s">
        <v>29</v>
      </c>
      <c r="D577" t="s">
        <v>18</v>
      </c>
      <c r="E577">
        <v>5589</v>
      </c>
      <c r="F577">
        <v>1.2</v>
      </c>
      <c r="G577">
        <v>1</v>
      </c>
      <c r="H577">
        <v>6706.8</v>
      </c>
      <c r="I577">
        <v>5589</v>
      </c>
      <c r="J577">
        <v>1117.8</v>
      </c>
      <c r="K577">
        <f>Table1[[#This Row],[Liters_Sold]]</f>
        <v>5589</v>
      </c>
      <c r="L577">
        <f>Table1[[#This Row],[Delivery volume]]*0.05</f>
        <v>279.45</v>
      </c>
      <c r="M577" s="16">
        <f>Table1[[#This Row],[Delivery Cost]]/Table1[[#This Row],[Revenue]]</f>
        <v>4.1666666666666664E-2</v>
      </c>
      <c r="N577" t="str">
        <f t="shared" si="8"/>
        <v>Aug</v>
      </c>
    </row>
    <row r="578" spans="1:14" x14ac:dyDescent="0.2">
      <c r="A578" s="1">
        <v>45343</v>
      </c>
      <c r="B578" t="s">
        <v>21</v>
      </c>
      <c r="C578" t="s">
        <v>17</v>
      </c>
      <c r="D578" t="s">
        <v>18</v>
      </c>
      <c r="E578">
        <v>3087</v>
      </c>
      <c r="F578">
        <v>1.2</v>
      </c>
      <c r="G578">
        <v>1</v>
      </c>
      <c r="H578">
        <v>3704.3999999999901</v>
      </c>
      <c r="I578">
        <v>3087</v>
      </c>
      <c r="J578">
        <v>617.39999999999895</v>
      </c>
      <c r="K578">
        <f>Table1[[#This Row],[Liters_Sold]]</f>
        <v>3087</v>
      </c>
      <c r="L578">
        <f>Table1[[#This Row],[Delivery volume]]*0.05</f>
        <v>154.35000000000002</v>
      </c>
      <c r="M578" s="16">
        <f>Table1[[#This Row],[Delivery Cost]]/Table1[[#This Row],[Revenue]]</f>
        <v>4.1666666666666782E-2</v>
      </c>
      <c r="N578" t="str">
        <f t="shared" ref="N578:N641" si="9">TEXT(A578,"mmm")</f>
        <v>Feb</v>
      </c>
    </row>
    <row r="579" spans="1:14" x14ac:dyDescent="0.2">
      <c r="A579" s="1">
        <v>45630</v>
      </c>
      <c r="B579" t="s">
        <v>26</v>
      </c>
      <c r="C579" t="s">
        <v>29</v>
      </c>
      <c r="D579" t="s">
        <v>18</v>
      </c>
      <c r="E579">
        <v>3762</v>
      </c>
      <c r="F579">
        <v>1.2</v>
      </c>
      <c r="G579">
        <v>1</v>
      </c>
      <c r="H579">
        <v>4514.3999999999996</v>
      </c>
      <c r="I579">
        <v>3762</v>
      </c>
      <c r="J579">
        <v>752.39999999999895</v>
      </c>
      <c r="K579">
        <f>Table1[[#This Row],[Liters_Sold]]</f>
        <v>3762</v>
      </c>
      <c r="L579">
        <f>Table1[[#This Row],[Delivery volume]]*0.05</f>
        <v>188.10000000000002</v>
      </c>
      <c r="M579" s="16">
        <f>Table1[[#This Row],[Delivery Cost]]/Table1[[#This Row],[Revenue]]</f>
        <v>4.1666666666666678E-2</v>
      </c>
      <c r="N579" t="str">
        <f t="shared" si="9"/>
        <v>Dec</v>
      </c>
    </row>
    <row r="580" spans="1:14" x14ac:dyDescent="0.2">
      <c r="A580" s="1">
        <v>45435</v>
      </c>
      <c r="B580" t="s">
        <v>31</v>
      </c>
      <c r="C580" t="s">
        <v>17</v>
      </c>
      <c r="D580" t="s">
        <v>12</v>
      </c>
      <c r="E580">
        <v>1838</v>
      </c>
      <c r="F580">
        <v>1.25</v>
      </c>
      <c r="G580">
        <v>1.05</v>
      </c>
      <c r="H580">
        <v>2297.5</v>
      </c>
      <c r="I580">
        <v>1929.9</v>
      </c>
      <c r="J580">
        <v>367.599999999999</v>
      </c>
      <c r="K580">
        <f>Table1[[#This Row],[Liters_Sold]]</f>
        <v>1838</v>
      </c>
      <c r="L580">
        <f>Table1[[#This Row],[Delivery volume]]*0.05</f>
        <v>91.9</v>
      </c>
      <c r="M580" s="16">
        <f>Table1[[#This Row],[Delivery Cost]]/Table1[[#This Row],[Revenue]]</f>
        <v>0.04</v>
      </c>
      <c r="N580" t="str">
        <f t="shared" si="9"/>
        <v>May</v>
      </c>
    </row>
    <row r="581" spans="1:14" x14ac:dyDescent="0.2">
      <c r="A581" s="1">
        <v>45360</v>
      </c>
      <c r="B581" t="s">
        <v>28</v>
      </c>
      <c r="C581" t="s">
        <v>29</v>
      </c>
      <c r="D581" t="s">
        <v>18</v>
      </c>
      <c r="E581">
        <v>5496</v>
      </c>
      <c r="F581">
        <v>1.2</v>
      </c>
      <c r="G581">
        <v>1</v>
      </c>
      <c r="H581">
        <v>6595.2</v>
      </c>
      <c r="I581">
        <v>5496</v>
      </c>
      <c r="J581">
        <v>1099.19999999999</v>
      </c>
      <c r="K581">
        <f>Table1[[#This Row],[Liters_Sold]]</f>
        <v>5496</v>
      </c>
      <c r="L581">
        <f>Table1[[#This Row],[Delivery volume]]*0.05</f>
        <v>274.8</v>
      </c>
      <c r="M581" s="16">
        <f>Table1[[#This Row],[Delivery Cost]]/Table1[[#This Row],[Revenue]]</f>
        <v>4.1666666666666671E-2</v>
      </c>
      <c r="N581" t="str">
        <f t="shared" si="9"/>
        <v>Mar</v>
      </c>
    </row>
    <row r="582" spans="1:14" x14ac:dyDescent="0.2">
      <c r="A582" s="1">
        <v>45390</v>
      </c>
      <c r="B582" t="s">
        <v>21</v>
      </c>
      <c r="C582" t="s">
        <v>20</v>
      </c>
      <c r="D582" t="s">
        <v>12</v>
      </c>
      <c r="E582">
        <v>4134</v>
      </c>
      <c r="F582">
        <v>1.25</v>
      </c>
      <c r="G582">
        <v>1.05</v>
      </c>
      <c r="H582">
        <v>5167.5</v>
      </c>
      <c r="I582">
        <v>4340.7</v>
      </c>
      <c r="J582">
        <v>826.8</v>
      </c>
      <c r="K582">
        <f>Table1[[#This Row],[Liters_Sold]]</f>
        <v>4134</v>
      </c>
      <c r="L582">
        <f>Table1[[#This Row],[Delivery volume]]*0.05</f>
        <v>206.70000000000002</v>
      </c>
      <c r="M582" s="16">
        <f>Table1[[#This Row],[Delivery Cost]]/Table1[[#This Row],[Revenue]]</f>
        <v>0.04</v>
      </c>
      <c r="N582" t="str">
        <f t="shared" si="9"/>
        <v>Apr</v>
      </c>
    </row>
    <row r="583" spans="1:14" x14ac:dyDescent="0.2">
      <c r="A583" s="1">
        <v>45316</v>
      </c>
      <c r="B583" t="s">
        <v>10</v>
      </c>
      <c r="C583" t="s">
        <v>29</v>
      </c>
      <c r="D583" t="s">
        <v>12</v>
      </c>
      <c r="E583">
        <v>3327</v>
      </c>
      <c r="F583">
        <v>1.25</v>
      </c>
      <c r="G583">
        <v>1.05</v>
      </c>
      <c r="H583">
        <v>4158.75</v>
      </c>
      <c r="I583">
        <v>3493.35</v>
      </c>
      <c r="J583">
        <v>665.39999999999895</v>
      </c>
      <c r="K583">
        <f>Table1[[#This Row],[Liters_Sold]]</f>
        <v>3327</v>
      </c>
      <c r="L583">
        <f>Table1[[#This Row],[Delivery volume]]*0.05</f>
        <v>166.35000000000002</v>
      </c>
      <c r="M583" s="16">
        <f>Table1[[#This Row],[Delivery Cost]]/Table1[[#This Row],[Revenue]]</f>
        <v>4.0000000000000008E-2</v>
      </c>
      <c r="N583" t="str">
        <f t="shared" si="9"/>
        <v>Jan</v>
      </c>
    </row>
    <row r="584" spans="1:14" x14ac:dyDescent="0.2">
      <c r="A584" s="1">
        <v>45344</v>
      </c>
      <c r="B584" t="s">
        <v>30</v>
      </c>
      <c r="C584" t="s">
        <v>29</v>
      </c>
      <c r="D584" t="s">
        <v>12</v>
      </c>
      <c r="E584">
        <v>5732</v>
      </c>
      <c r="F584">
        <v>1.25</v>
      </c>
      <c r="G584">
        <v>1.05</v>
      </c>
      <c r="H584">
        <v>7165</v>
      </c>
      <c r="I584">
        <v>6018.6</v>
      </c>
      <c r="J584">
        <v>1146.3999999999901</v>
      </c>
      <c r="K584">
        <f>Table1[[#This Row],[Liters_Sold]]</f>
        <v>5732</v>
      </c>
      <c r="L584">
        <f>Table1[[#This Row],[Delivery volume]]*0.05</f>
        <v>286.60000000000002</v>
      </c>
      <c r="M584" s="16">
        <f>Table1[[#This Row],[Delivery Cost]]/Table1[[#This Row],[Revenue]]</f>
        <v>0.04</v>
      </c>
      <c r="N584" t="str">
        <f t="shared" si="9"/>
        <v>Feb</v>
      </c>
    </row>
    <row r="585" spans="1:14" x14ac:dyDescent="0.2">
      <c r="A585" s="1">
        <v>45442</v>
      </c>
      <c r="B585" t="s">
        <v>32</v>
      </c>
      <c r="C585" t="s">
        <v>23</v>
      </c>
      <c r="D585" t="s">
        <v>12</v>
      </c>
      <c r="E585">
        <v>2717</v>
      </c>
      <c r="F585">
        <v>1.25</v>
      </c>
      <c r="G585">
        <v>1.05</v>
      </c>
      <c r="H585">
        <v>3396.25</v>
      </c>
      <c r="I585">
        <v>2852.85</v>
      </c>
      <c r="J585">
        <v>543.4</v>
      </c>
      <c r="K585">
        <f>Table1[[#This Row],[Liters_Sold]]</f>
        <v>2717</v>
      </c>
      <c r="L585">
        <f>Table1[[#This Row],[Delivery volume]]*0.05</f>
        <v>135.85</v>
      </c>
      <c r="M585" s="16">
        <f>Table1[[#This Row],[Delivery Cost]]/Table1[[#This Row],[Revenue]]</f>
        <v>0.04</v>
      </c>
      <c r="N585" t="str">
        <f t="shared" si="9"/>
        <v>May</v>
      </c>
    </row>
    <row r="586" spans="1:14" x14ac:dyDescent="0.2">
      <c r="A586" s="1">
        <v>45435</v>
      </c>
      <c r="B586" t="s">
        <v>25</v>
      </c>
      <c r="C586" t="s">
        <v>29</v>
      </c>
      <c r="D586" t="s">
        <v>18</v>
      </c>
      <c r="E586">
        <v>4039</v>
      </c>
      <c r="F586">
        <v>1.2</v>
      </c>
      <c r="G586">
        <v>1</v>
      </c>
      <c r="H586">
        <v>4846.8</v>
      </c>
      <c r="I586">
        <v>4039</v>
      </c>
      <c r="J586">
        <v>807.8</v>
      </c>
      <c r="K586">
        <f>Table1[[#This Row],[Liters_Sold]]</f>
        <v>4039</v>
      </c>
      <c r="L586">
        <f>Table1[[#This Row],[Delivery volume]]*0.05</f>
        <v>201.95000000000002</v>
      </c>
      <c r="M586" s="16">
        <f>Table1[[#This Row],[Delivery Cost]]/Table1[[#This Row],[Revenue]]</f>
        <v>4.1666666666666671E-2</v>
      </c>
      <c r="N586" t="str">
        <f t="shared" si="9"/>
        <v>May</v>
      </c>
    </row>
    <row r="587" spans="1:14" x14ac:dyDescent="0.2">
      <c r="A587" s="1">
        <v>45348</v>
      </c>
      <c r="B587" t="s">
        <v>19</v>
      </c>
      <c r="C587" t="s">
        <v>23</v>
      </c>
      <c r="D587" t="s">
        <v>12</v>
      </c>
      <c r="E587">
        <v>1537</v>
      </c>
      <c r="F587">
        <v>1.25</v>
      </c>
      <c r="G587">
        <v>1.05</v>
      </c>
      <c r="H587">
        <v>1921.25</v>
      </c>
      <c r="I587">
        <v>1613.85</v>
      </c>
      <c r="J587">
        <v>307.39999999999901</v>
      </c>
      <c r="K587">
        <f>Table1[[#This Row],[Liters_Sold]]</f>
        <v>1537</v>
      </c>
      <c r="L587">
        <f>Table1[[#This Row],[Delivery volume]]*0.05</f>
        <v>76.850000000000009</v>
      </c>
      <c r="M587" s="16">
        <f>Table1[[#This Row],[Delivery Cost]]/Table1[[#This Row],[Revenue]]</f>
        <v>4.0000000000000008E-2</v>
      </c>
      <c r="N587" t="str">
        <f t="shared" si="9"/>
        <v>Feb</v>
      </c>
    </row>
    <row r="588" spans="1:14" x14ac:dyDescent="0.2">
      <c r="A588" s="1">
        <v>45330</v>
      </c>
      <c r="B588" t="s">
        <v>25</v>
      </c>
      <c r="C588" t="s">
        <v>11</v>
      </c>
      <c r="D588" t="s">
        <v>18</v>
      </c>
      <c r="E588">
        <v>4883</v>
      </c>
      <c r="F588">
        <v>1.2</v>
      </c>
      <c r="G588">
        <v>1</v>
      </c>
      <c r="H588">
        <v>5859.5999999999904</v>
      </c>
      <c r="I588">
        <v>4883</v>
      </c>
      <c r="J588">
        <v>976.599999999999</v>
      </c>
      <c r="K588">
        <f>Table1[[#This Row],[Liters_Sold]]</f>
        <v>4883</v>
      </c>
      <c r="L588">
        <f>Table1[[#This Row],[Delivery volume]]*0.05</f>
        <v>244.15</v>
      </c>
      <c r="M588" s="16">
        <f>Table1[[#This Row],[Delivery Cost]]/Table1[[#This Row],[Revenue]]</f>
        <v>4.1666666666666734E-2</v>
      </c>
      <c r="N588" t="str">
        <f t="shared" si="9"/>
        <v>Feb</v>
      </c>
    </row>
    <row r="589" spans="1:14" x14ac:dyDescent="0.2">
      <c r="A589" s="1">
        <v>45400</v>
      </c>
      <c r="B589" t="s">
        <v>10</v>
      </c>
      <c r="C589" t="s">
        <v>23</v>
      </c>
      <c r="D589" t="s">
        <v>12</v>
      </c>
      <c r="E589">
        <v>4478</v>
      </c>
      <c r="F589">
        <v>1.25</v>
      </c>
      <c r="G589">
        <v>1.05</v>
      </c>
      <c r="H589">
        <v>5597.5</v>
      </c>
      <c r="I589">
        <v>4701.8999999999996</v>
      </c>
      <c r="J589">
        <v>895.599999999999</v>
      </c>
      <c r="K589">
        <f>Table1[[#This Row],[Liters_Sold]]</f>
        <v>4478</v>
      </c>
      <c r="L589">
        <f>Table1[[#This Row],[Delivery volume]]*0.05</f>
        <v>223.9</v>
      </c>
      <c r="M589" s="16">
        <f>Table1[[#This Row],[Delivery Cost]]/Table1[[#This Row],[Revenue]]</f>
        <v>0.04</v>
      </c>
      <c r="N589" t="str">
        <f t="shared" si="9"/>
        <v>Apr</v>
      </c>
    </row>
    <row r="590" spans="1:14" x14ac:dyDescent="0.2">
      <c r="A590" s="1">
        <v>45472</v>
      </c>
      <c r="B590" t="s">
        <v>27</v>
      </c>
      <c r="C590" t="s">
        <v>20</v>
      </c>
      <c r="D590" t="s">
        <v>12</v>
      </c>
      <c r="E590">
        <v>3461</v>
      </c>
      <c r="F590">
        <v>1.25</v>
      </c>
      <c r="G590">
        <v>1.05</v>
      </c>
      <c r="H590">
        <v>4326.25</v>
      </c>
      <c r="I590">
        <v>3634.05</v>
      </c>
      <c r="J590">
        <v>692.19999999999902</v>
      </c>
      <c r="K590">
        <f>Table1[[#This Row],[Liters_Sold]]</f>
        <v>3461</v>
      </c>
      <c r="L590">
        <f>Table1[[#This Row],[Delivery volume]]*0.05</f>
        <v>173.05</v>
      </c>
      <c r="M590" s="16">
        <f>Table1[[#This Row],[Delivery Cost]]/Table1[[#This Row],[Revenue]]</f>
        <v>0.04</v>
      </c>
      <c r="N590" t="str">
        <f t="shared" si="9"/>
        <v>Jun</v>
      </c>
    </row>
    <row r="591" spans="1:14" x14ac:dyDescent="0.2">
      <c r="A591" s="1">
        <v>45333</v>
      </c>
      <c r="B591" t="s">
        <v>21</v>
      </c>
      <c r="C591" t="s">
        <v>23</v>
      </c>
      <c r="D591" t="s">
        <v>18</v>
      </c>
      <c r="E591">
        <v>3726</v>
      </c>
      <c r="F591">
        <v>1.2</v>
      </c>
      <c r="G591">
        <v>1</v>
      </c>
      <c r="H591">
        <v>4471.2</v>
      </c>
      <c r="I591">
        <v>3726</v>
      </c>
      <c r="J591">
        <v>745.19999999999902</v>
      </c>
      <c r="K591">
        <f>Table1[[#This Row],[Liters_Sold]]</f>
        <v>3726</v>
      </c>
      <c r="L591">
        <f>Table1[[#This Row],[Delivery volume]]*0.05</f>
        <v>186.3</v>
      </c>
      <c r="M591" s="16">
        <f>Table1[[#This Row],[Delivery Cost]]/Table1[[#This Row],[Revenue]]</f>
        <v>4.1666666666666671E-2</v>
      </c>
      <c r="N591" t="str">
        <f t="shared" si="9"/>
        <v>Feb</v>
      </c>
    </row>
    <row r="592" spans="1:14" x14ac:dyDescent="0.2">
      <c r="A592" s="1">
        <v>45477</v>
      </c>
      <c r="B592" t="s">
        <v>28</v>
      </c>
      <c r="C592" t="s">
        <v>11</v>
      </c>
      <c r="D592" t="s">
        <v>12</v>
      </c>
      <c r="E592">
        <v>1598</v>
      </c>
      <c r="F592">
        <v>1.25</v>
      </c>
      <c r="G592">
        <v>1.05</v>
      </c>
      <c r="H592">
        <v>1997.5</v>
      </c>
      <c r="I592">
        <v>1677.9</v>
      </c>
      <c r="J592">
        <v>319.599999999999</v>
      </c>
      <c r="K592">
        <f>Table1[[#This Row],[Liters_Sold]]</f>
        <v>1598</v>
      </c>
      <c r="L592">
        <f>Table1[[#This Row],[Delivery volume]]*0.05</f>
        <v>79.900000000000006</v>
      </c>
      <c r="M592" s="16">
        <f>Table1[[#This Row],[Delivery Cost]]/Table1[[#This Row],[Revenue]]</f>
        <v>0.04</v>
      </c>
      <c r="N592" t="str">
        <f t="shared" si="9"/>
        <v>Jul</v>
      </c>
    </row>
    <row r="593" spans="1:14" x14ac:dyDescent="0.2">
      <c r="A593" s="1">
        <v>45514</v>
      </c>
      <c r="B593" t="s">
        <v>27</v>
      </c>
      <c r="C593" t="s">
        <v>20</v>
      </c>
      <c r="D593" t="s">
        <v>12</v>
      </c>
      <c r="E593">
        <v>2824</v>
      </c>
      <c r="F593">
        <v>1.25</v>
      </c>
      <c r="G593">
        <v>1.05</v>
      </c>
      <c r="H593">
        <v>3530</v>
      </c>
      <c r="I593">
        <v>2965.2</v>
      </c>
      <c r="J593">
        <v>564.79999999999905</v>
      </c>
      <c r="K593">
        <f>Table1[[#This Row],[Liters_Sold]]</f>
        <v>2824</v>
      </c>
      <c r="L593">
        <f>Table1[[#This Row],[Delivery volume]]*0.05</f>
        <v>141.20000000000002</v>
      </c>
      <c r="M593" s="16">
        <f>Table1[[#This Row],[Delivery Cost]]/Table1[[#This Row],[Revenue]]</f>
        <v>4.0000000000000008E-2</v>
      </c>
      <c r="N593" t="str">
        <f t="shared" si="9"/>
        <v>Aug</v>
      </c>
    </row>
    <row r="594" spans="1:14" x14ac:dyDescent="0.2">
      <c r="A594" s="1">
        <v>45413</v>
      </c>
      <c r="B594" t="s">
        <v>22</v>
      </c>
      <c r="C594" t="s">
        <v>17</v>
      </c>
      <c r="D594" t="s">
        <v>18</v>
      </c>
      <c r="E594">
        <v>1439</v>
      </c>
      <c r="F594">
        <v>1.2</v>
      </c>
      <c r="G594">
        <v>1</v>
      </c>
      <c r="H594">
        <v>1726.8</v>
      </c>
      <c r="I594">
        <v>1439</v>
      </c>
      <c r="J594">
        <v>287.79999999999899</v>
      </c>
      <c r="K594">
        <f>Table1[[#This Row],[Liters_Sold]]</f>
        <v>1439</v>
      </c>
      <c r="L594">
        <f>Table1[[#This Row],[Delivery volume]]*0.05</f>
        <v>71.95</v>
      </c>
      <c r="M594" s="16">
        <f>Table1[[#This Row],[Delivery Cost]]/Table1[[#This Row],[Revenue]]</f>
        <v>4.1666666666666671E-2</v>
      </c>
      <c r="N594" t="str">
        <f t="shared" si="9"/>
        <v>May</v>
      </c>
    </row>
    <row r="595" spans="1:14" x14ac:dyDescent="0.2">
      <c r="A595" s="1">
        <v>45424</v>
      </c>
      <c r="B595" t="s">
        <v>22</v>
      </c>
      <c r="C595" t="s">
        <v>17</v>
      </c>
      <c r="D595" t="s">
        <v>12</v>
      </c>
      <c r="E595">
        <v>4216</v>
      </c>
      <c r="F595">
        <v>1.25</v>
      </c>
      <c r="G595">
        <v>1.05</v>
      </c>
      <c r="H595">
        <v>5270</v>
      </c>
      <c r="I595">
        <v>4426.8</v>
      </c>
      <c r="J595">
        <v>843.19999999999902</v>
      </c>
      <c r="K595">
        <f>Table1[[#This Row],[Liters_Sold]]</f>
        <v>4216</v>
      </c>
      <c r="L595">
        <f>Table1[[#This Row],[Delivery volume]]*0.05</f>
        <v>210.8</v>
      </c>
      <c r="M595" s="16">
        <f>Table1[[#This Row],[Delivery Cost]]/Table1[[#This Row],[Revenue]]</f>
        <v>0.04</v>
      </c>
      <c r="N595" t="str">
        <f t="shared" si="9"/>
        <v>May</v>
      </c>
    </row>
    <row r="596" spans="1:14" x14ac:dyDescent="0.2">
      <c r="A596" s="1">
        <v>45454</v>
      </c>
      <c r="B596" t="s">
        <v>25</v>
      </c>
      <c r="C596" t="s">
        <v>23</v>
      </c>
      <c r="D596" t="s">
        <v>18</v>
      </c>
      <c r="E596">
        <v>3914</v>
      </c>
      <c r="F596">
        <v>1.2</v>
      </c>
      <c r="G596">
        <v>1</v>
      </c>
      <c r="H596">
        <v>4696.8</v>
      </c>
      <c r="I596">
        <v>3914</v>
      </c>
      <c r="J596">
        <v>782.8</v>
      </c>
      <c r="K596">
        <f>Table1[[#This Row],[Liters_Sold]]</f>
        <v>3914</v>
      </c>
      <c r="L596">
        <f>Table1[[#This Row],[Delivery volume]]*0.05</f>
        <v>195.70000000000002</v>
      </c>
      <c r="M596" s="16">
        <f>Table1[[#This Row],[Delivery Cost]]/Table1[[#This Row],[Revenue]]</f>
        <v>4.1666666666666671E-2</v>
      </c>
      <c r="N596" t="str">
        <f t="shared" si="9"/>
        <v>Jun</v>
      </c>
    </row>
    <row r="597" spans="1:14" x14ac:dyDescent="0.2">
      <c r="A597" s="1">
        <v>45506</v>
      </c>
      <c r="B597" t="s">
        <v>31</v>
      </c>
      <c r="C597" t="s">
        <v>23</v>
      </c>
      <c r="D597" t="s">
        <v>12</v>
      </c>
      <c r="E597">
        <v>1948</v>
      </c>
      <c r="F597">
        <v>1.25</v>
      </c>
      <c r="G597">
        <v>1.05</v>
      </c>
      <c r="H597">
        <v>2435</v>
      </c>
      <c r="I597">
        <v>2045.4</v>
      </c>
      <c r="J597">
        <v>389.599999999999</v>
      </c>
      <c r="K597">
        <f>Table1[[#This Row],[Liters_Sold]]</f>
        <v>1948</v>
      </c>
      <c r="L597">
        <f>Table1[[#This Row],[Delivery volume]]*0.05</f>
        <v>97.4</v>
      </c>
      <c r="M597" s="16">
        <f>Table1[[#This Row],[Delivery Cost]]/Table1[[#This Row],[Revenue]]</f>
        <v>0.04</v>
      </c>
      <c r="N597" t="str">
        <f t="shared" si="9"/>
        <v>Aug</v>
      </c>
    </row>
    <row r="598" spans="1:14" x14ac:dyDescent="0.2">
      <c r="A598" s="1">
        <v>45512</v>
      </c>
      <c r="B598" t="s">
        <v>24</v>
      </c>
      <c r="C598" t="s">
        <v>11</v>
      </c>
      <c r="D598" t="s">
        <v>12</v>
      </c>
      <c r="E598">
        <v>1070</v>
      </c>
      <c r="F598">
        <v>1.25</v>
      </c>
      <c r="G598">
        <v>1.05</v>
      </c>
      <c r="H598">
        <v>1337.5</v>
      </c>
      <c r="I598">
        <v>1123.5</v>
      </c>
      <c r="J598">
        <v>214</v>
      </c>
      <c r="K598">
        <f>Table1[[#This Row],[Liters_Sold]]</f>
        <v>1070</v>
      </c>
      <c r="L598">
        <f>Table1[[#This Row],[Delivery volume]]*0.05</f>
        <v>53.5</v>
      </c>
      <c r="M598" s="16">
        <f>Table1[[#This Row],[Delivery Cost]]/Table1[[#This Row],[Revenue]]</f>
        <v>0.04</v>
      </c>
      <c r="N598" t="str">
        <f t="shared" si="9"/>
        <v>Aug</v>
      </c>
    </row>
    <row r="599" spans="1:14" x14ac:dyDescent="0.2">
      <c r="A599" s="1">
        <v>45526</v>
      </c>
      <c r="B599" t="s">
        <v>31</v>
      </c>
      <c r="C599" t="s">
        <v>11</v>
      </c>
      <c r="D599" t="s">
        <v>18</v>
      </c>
      <c r="E599">
        <v>3404</v>
      </c>
      <c r="F599">
        <v>1.2</v>
      </c>
      <c r="G599">
        <v>1</v>
      </c>
      <c r="H599">
        <v>4084.7999999999902</v>
      </c>
      <c r="I599">
        <v>3404</v>
      </c>
      <c r="J599">
        <v>680.79999999999905</v>
      </c>
      <c r="K599">
        <f>Table1[[#This Row],[Liters_Sold]]</f>
        <v>3404</v>
      </c>
      <c r="L599">
        <f>Table1[[#This Row],[Delivery volume]]*0.05</f>
        <v>170.20000000000002</v>
      </c>
      <c r="M599" s="16">
        <f>Table1[[#This Row],[Delivery Cost]]/Table1[[#This Row],[Revenue]]</f>
        <v>4.1666666666666768E-2</v>
      </c>
      <c r="N599" t="str">
        <f t="shared" si="9"/>
        <v>Aug</v>
      </c>
    </row>
    <row r="600" spans="1:14" x14ac:dyDescent="0.2">
      <c r="A600" s="1">
        <v>45622</v>
      </c>
      <c r="B600" t="s">
        <v>30</v>
      </c>
      <c r="C600" t="s">
        <v>29</v>
      </c>
      <c r="D600" t="s">
        <v>12</v>
      </c>
      <c r="E600">
        <v>5596</v>
      </c>
      <c r="F600">
        <v>1.25</v>
      </c>
      <c r="G600">
        <v>1.05</v>
      </c>
      <c r="H600">
        <v>6995</v>
      </c>
      <c r="I600">
        <v>5875.8</v>
      </c>
      <c r="J600">
        <v>1119.19999999999</v>
      </c>
      <c r="K600">
        <f>Table1[[#This Row],[Liters_Sold]]</f>
        <v>5596</v>
      </c>
      <c r="L600">
        <f>Table1[[#This Row],[Delivery volume]]*0.05</f>
        <v>279.8</v>
      </c>
      <c r="M600" s="16">
        <f>Table1[[#This Row],[Delivery Cost]]/Table1[[#This Row],[Revenue]]</f>
        <v>0.04</v>
      </c>
      <c r="N600" t="str">
        <f t="shared" si="9"/>
        <v>Nov</v>
      </c>
    </row>
    <row r="601" spans="1:14" x14ac:dyDescent="0.2">
      <c r="A601" s="1">
        <v>45437</v>
      </c>
      <c r="B601" t="s">
        <v>10</v>
      </c>
      <c r="C601" t="s">
        <v>11</v>
      </c>
      <c r="D601" t="s">
        <v>12</v>
      </c>
      <c r="E601">
        <v>5801</v>
      </c>
      <c r="F601">
        <v>1.25</v>
      </c>
      <c r="G601">
        <v>1.05</v>
      </c>
      <c r="H601">
        <v>7251.25</v>
      </c>
      <c r="I601">
        <v>6091.05</v>
      </c>
      <c r="J601">
        <v>1160.19999999999</v>
      </c>
      <c r="K601">
        <f>Table1[[#This Row],[Liters_Sold]]</f>
        <v>5801</v>
      </c>
      <c r="L601">
        <f>Table1[[#This Row],[Delivery volume]]*0.05</f>
        <v>290.05</v>
      </c>
      <c r="M601" s="16">
        <f>Table1[[#This Row],[Delivery Cost]]/Table1[[#This Row],[Revenue]]</f>
        <v>0.04</v>
      </c>
      <c r="N601" t="str">
        <f t="shared" si="9"/>
        <v>May</v>
      </c>
    </row>
    <row r="602" spans="1:14" x14ac:dyDescent="0.2">
      <c r="A602" s="1">
        <v>45530</v>
      </c>
      <c r="B602" t="s">
        <v>16</v>
      </c>
      <c r="C602" t="s">
        <v>29</v>
      </c>
      <c r="D602" t="s">
        <v>12</v>
      </c>
      <c r="E602">
        <v>3005</v>
      </c>
      <c r="F602">
        <v>1.25</v>
      </c>
      <c r="G602">
        <v>1.05</v>
      </c>
      <c r="H602">
        <v>3756.25</v>
      </c>
      <c r="I602">
        <v>3155.25</v>
      </c>
      <c r="J602">
        <v>601</v>
      </c>
      <c r="K602">
        <f>Table1[[#This Row],[Liters_Sold]]</f>
        <v>3005</v>
      </c>
      <c r="L602">
        <f>Table1[[#This Row],[Delivery volume]]*0.05</f>
        <v>150.25</v>
      </c>
      <c r="M602" s="16">
        <f>Table1[[#This Row],[Delivery Cost]]/Table1[[#This Row],[Revenue]]</f>
        <v>0.04</v>
      </c>
      <c r="N602" t="str">
        <f t="shared" si="9"/>
        <v>Aug</v>
      </c>
    </row>
    <row r="603" spans="1:14" x14ac:dyDescent="0.2">
      <c r="A603" s="1">
        <v>45367</v>
      </c>
      <c r="B603" t="s">
        <v>26</v>
      </c>
      <c r="C603" t="s">
        <v>20</v>
      </c>
      <c r="D603" t="s">
        <v>12</v>
      </c>
      <c r="E603">
        <v>1417</v>
      </c>
      <c r="F603">
        <v>1.25</v>
      </c>
      <c r="G603">
        <v>1.05</v>
      </c>
      <c r="H603">
        <v>1771.25</v>
      </c>
      <c r="I603">
        <v>1487.85</v>
      </c>
      <c r="J603">
        <v>283.39999999999901</v>
      </c>
      <c r="K603">
        <f>Table1[[#This Row],[Liters_Sold]]</f>
        <v>1417</v>
      </c>
      <c r="L603">
        <f>Table1[[#This Row],[Delivery volume]]*0.05</f>
        <v>70.850000000000009</v>
      </c>
      <c r="M603" s="16">
        <f>Table1[[#This Row],[Delivery Cost]]/Table1[[#This Row],[Revenue]]</f>
        <v>4.0000000000000008E-2</v>
      </c>
      <c r="N603" t="str">
        <f t="shared" si="9"/>
        <v>Mar</v>
      </c>
    </row>
    <row r="604" spans="1:14" x14ac:dyDescent="0.2">
      <c r="A604" s="1">
        <v>45300</v>
      </c>
      <c r="B604" t="s">
        <v>31</v>
      </c>
      <c r="C604" t="s">
        <v>23</v>
      </c>
      <c r="D604" t="s">
        <v>18</v>
      </c>
      <c r="E604">
        <v>2374</v>
      </c>
      <c r="F604">
        <v>1.2</v>
      </c>
      <c r="G604">
        <v>1</v>
      </c>
      <c r="H604">
        <v>2848.7999999999902</v>
      </c>
      <c r="I604">
        <v>2374</v>
      </c>
      <c r="J604">
        <v>474.79999999999899</v>
      </c>
      <c r="K604">
        <f>Table1[[#This Row],[Liters_Sold]]</f>
        <v>2374</v>
      </c>
      <c r="L604">
        <f>Table1[[#This Row],[Delivery volume]]*0.05</f>
        <v>118.7</v>
      </c>
      <c r="M604" s="16">
        <f>Table1[[#This Row],[Delivery Cost]]/Table1[[#This Row],[Revenue]]</f>
        <v>4.166666666666681E-2</v>
      </c>
      <c r="N604" t="str">
        <f t="shared" si="9"/>
        <v>Jan</v>
      </c>
    </row>
    <row r="605" spans="1:14" x14ac:dyDescent="0.2">
      <c r="A605" s="1">
        <v>45365</v>
      </c>
      <c r="B605" t="s">
        <v>15</v>
      </c>
      <c r="C605" t="s">
        <v>20</v>
      </c>
      <c r="D605" t="s">
        <v>12</v>
      </c>
      <c r="E605">
        <v>5428</v>
      </c>
      <c r="F605">
        <v>1.25</v>
      </c>
      <c r="G605">
        <v>1.05</v>
      </c>
      <c r="H605">
        <v>6785</v>
      </c>
      <c r="I605">
        <v>5699.4</v>
      </c>
      <c r="J605">
        <v>1085.5999999999899</v>
      </c>
      <c r="K605">
        <f>Table1[[#This Row],[Liters_Sold]]</f>
        <v>5428</v>
      </c>
      <c r="L605">
        <f>Table1[[#This Row],[Delivery volume]]*0.05</f>
        <v>271.40000000000003</v>
      </c>
      <c r="M605" s="16">
        <f>Table1[[#This Row],[Delivery Cost]]/Table1[[#This Row],[Revenue]]</f>
        <v>4.0000000000000008E-2</v>
      </c>
      <c r="N605" t="str">
        <f t="shared" si="9"/>
        <v>Mar</v>
      </c>
    </row>
    <row r="606" spans="1:14" x14ac:dyDescent="0.2">
      <c r="A606" s="1">
        <v>45544</v>
      </c>
      <c r="B606" t="s">
        <v>26</v>
      </c>
      <c r="C606" t="s">
        <v>11</v>
      </c>
      <c r="D606" t="s">
        <v>18</v>
      </c>
      <c r="E606">
        <v>2178</v>
      </c>
      <c r="F606">
        <v>1.2</v>
      </c>
      <c r="G606">
        <v>1</v>
      </c>
      <c r="H606">
        <v>2613.6</v>
      </c>
      <c r="I606">
        <v>2178</v>
      </c>
      <c r="J606">
        <v>435.599999999999</v>
      </c>
      <c r="K606">
        <f>Table1[[#This Row],[Liters_Sold]]</f>
        <v>2178</v>
      </c>
      <c r="L606">
        <f>Table1[[#This Row],[Delivery volume]]*0.05</f>
        <v>108.9</v>
      </c>
      <c r="M606" s="16">
        <f>Table1[[#This Row],[Delivery Cost]]/Table1[[#This Row],[Revenue]]</f>
        <v>4.1666666666666671E-2</v>
      </c>
      <c r="N606" t="str">
        <f t="shared" si="9"/>
        <v>Sep</v>
      </c>
    </row>
    <row r="607" spans="1:14" x14ac:dyDescent="0.2">
      <c r="A607" s="1">
        <v>45521</v>
      </c>
      <c r="B607" t="s">
        <v>10</v>
      </c>
      <c r="C607" t="s">
        <v>20</v>
      </c>
      <c r="D607" t="s">
        <v>14</v>
      </c>
      <c r="E607">
        <v>1115</v>
      </c>
      <c r="F607">
        <v>0.9</v>
      </c>
      <c r="G607">
        <v>0.7</v>
      </c>
      <c r="H607">
        <v>1003.5</v>
      </c>
      <c r="I607">
        <v>780.5</v>
      </c>
      <c r="J607">
        <v>223</v>
      </c>
      <c r="K607">
        <f>Table1[[#This Row],[Liters_Sold]]</f>
        <v>1115</v>
      </c>
      <c r="L607">
        <f>Table1[[#This Row],[Delivery volume]]*0.05</f>
        <v>55.75</v>
      </c>
      <c r="M607" s="16">
        <f>Table1[[#This Row],[Delivery Cost]]/Table1[[#This Row],[Revenue]]</f>
        <v>5.5555555555555552E-2</v>
      </c>
      <c r="N607" t="str">
        <f t="shared" si="9"/>
        <v>Aug</v>
      </c>
    </row>
    <row r="608" spans="1:14" x14ac:dyDescent="0.2">
      <c r="A608" s="1">
        <v>45298</v>
      </c>
      <c r="B608" t="s">
        <v>26</v>
      </c>
      <c r="C608" t="s">
        <v>20</v>
      </c>
      <c r="D608" t="s">
        <v>12</v>
      </c>
      <c r="E608">
        <v>5001</v>
      </c>
      <c r="F608">
        <v>1.25</v>
      </c>
      <c r="G608">
        <v>1.05</v>
      </c>
      <c r="H608">
        <v>6251.25</v>
      </c>
      <c r="I608">
        <v>5251.05</v>
      </c>
      <c r="J608">
        <v>1000.19999999999</v>
      </c>
      <c r="K608">
        <f>Table1[[#This Row],[Liters_Sold]]</f>
        <v>5001</v>
      </c>
      <c r="L608">
        <f>Table1[[#This Row],[Delivery volume]]*0.05</f>
        <v>250.05</v>
      </c>
      <c r="M608" s="16">
        <f>Table1[[#This Row],[Delivery Cost]]/Table1[[#This Row],[Revenue]]</f>
        <v>0.04</v>
      </c>
      <c r="N608" t="str">
        <f t="shared" si="9"/>
        <v>Jan</v>
      </c>
    </row>
    <row r="609" spans="1:14" x14ac:dyDescent="0.2">
      <c r="A609" s="1">
        <v>45465</v>
      </c>
      <c r="B609" t="s">
        <v>28</v>
      </c>
      <c r="C609" t="s">
        <v>20</v>
      </c>
      <c r="D609" t="s">
        <v>14</v>
      </c>
      <c r="E609">
        <v>2249</v>
      </c>
      <c r="F609">
        <v>0.9</v>
      </c>
      <c r="G609">
        <v>0.7</v>
      </c>
      <c r="H609">
        <v>2024.1</v>
      </c>
      <c r="I609">
        <v>1574.3</v>
      </c>
      <c r="J609">
        <v>449.8</v>
      </c>
      <c r="K609">
        <f>Table1[[#This Row],[Liters_Sold]]</f>
        <v>2249</v>
      </c>
      <c r="L609">
        <f>Table1[[#This Row],[Delivery volume]]*0.05</f>
        <v>112.45</v>
      </c>
      <c r="M609" s="16">
        <f>Table1[[#This Row],[Delivery Cost]]/Table1[[#This Row],[Revenue]]</f>
        <v>5.5555555555555559E-2</v>
      </c>
      <c r="N609" t="str">
        <f t="shared" si="9"/>
        <v>Jun</v>
      </c>
    </row>
    <row r="610" spans="1:14" x14ac:dyDescent="0.2">
      <c r="A610" s="1">
        <v>45432</v>
      </c>
      <c r="B610" t="s">
        <v>21</v>
      </c>
      <c r="C610" t="s">
        <v>11</v>
      </c>
      <c r="D610" t="s">
        <v>12</v>
      </c>
      <c r="E610">
        <v>4325</v>
      </c>
      <c r="F610">
        <v>1.25</v>
      </c>
      <c r="G610">
        <v>1.05</v>
      </c>
      <c r="H610">
        <v>5406.25</v>
      </c>
      <c r="I610">
        <v>4541.25</v>
      </c>
      <c r="J610">
        <v>865</v>
      </c>
      <c r="K610">
        <f>Table1[[#This Row],[Liters_Sold]]</f>
        <v>4325</v>
      </c>
      <c r="L610">
        <f>Table1[[#This Row],[Delivery volume]]*0.05</f>
        <v>216.25</v>
      </c>
      <c r="M610" s="16">
        <f>Table1[[#This Row],[Delivery Cost]]/Table1[[#This Row],[Revenue]]</f>
        <v>0.04</v>
      </c>
      <c r="N610" t="str">
        <f t="shared" si="9"/>
        <v>May</v>
      </c>
    </row>
    <row r="611" spans="1:14" x14ac:dyDescent="0.2">
      <c r="A611" s="1">
        <v>45459</v>
      </c>
      <c r="B611" t="s">
        <v>28</v>
      </c>
      <c r="C611" t="s">
        <v>20</v>
      </c>
      <c r="D611" t="s">
        <v>14</v>
      </c>
      <c r="E611">
        <v>4688</v>
      </c>
      <c r="F611">
        <v>0.9</v>
      </c>
      <c r="G611">
        <v>0.7</v>
      </c>
      <c r="H611">
        <v>4219.2</v>
      </c>
      <c r="I611">
        <v>3281.6</v>
      </c>
      <c r="J611">
        <v>937.599999999999</v>
      </c>
      <c r="K611">
        <f>Table1[[#This Row],[Liters_Sold]]</f>
        <v>4688</v>
      </c>
      <c r="L611">
        <f>Table1[[#This Row],[Delivery volume]]*0.05</f>
        <v>234.4</v>
      </c>
      <c r="M611" s="16">
        <f>Table1[[#This Row],[Delivery Cost]]/Table1[[#This Row],[Revenue]]</f>
        <v>5.5555555555555559E-2</v>
      </c>
      <c r="N611" t="str">
        <f t="shared" si="9"/>
        <v>Jun</v>
      </c>
    </row>
    <row r="612" spans="1:14" x14ac:dyDescent="0.2">
      <c r="A612" s="1">
        <v>45461</v>
      </c>
      <c r="B612" t="s">
        <v>26</v>
      </c>
      <c r="C612" t="s">
        <v>29</v>
      </c>
      <c r="D612" t="s">
        <v>12</v>
      </c>
      <c r="E612">
        <v>2977</v>
      </c>
      <c r="F612">
        <v>1.25</v>
      </c>
      <c r="G612">
        <v>1.05</v>
      </c>
      <c r="H612">
        <v>3721.25</v>
      </c>
      <c r="I612">
        <v>3125.85</v>
      </c>
      <c r="J612">
        <v>595.4</v>
      </c>
      <c r="K612">
        <f>Table1[[#This Row],[Liters_Sold]]</f>
        <v>2977</v>
      </c>
      <c r="L612">
        <f>Table1[[#This Row],[Delivery volume]]*0.05</f>
        <v>148.85</v>
      </c>
      <c r="M612" s="16">
        <f>Table1[[#This Row],[Delivery Cost]]/Table1[[#This Row],[Revenue]]</f>
        <v>0.04</v>
      </c>
      <c r="N612" t="str">
        <f t="shared" si="9"/>
        <v>Jun</v>
      </c>
    </row>
    <row r="613" spans="1:14" x14ac:dyDescent="0.2">
      <c r="A613" s="1">
        <v>45574</v>
      </c>
      <c r="B613" t="s">
        <v>27</v>
      </c>
      <c r="C613" t="s">
        <v>11</v>
      </c>
      <c r="D613" t="s">
        <v>18</v>
      </c>
      <c r="E613">
        <v>5249</v>
      </c>
      <c r="F613">
        <v>1.2</v>
      </c>
      <c r="G613">
        <v>1</v>
      </c>
      <c r="H613">
        <v>6298.8</v>
      </c>
      <c r="I613">
        <v>5249</v>
      </c>
      <c r="J613">
        <v>1049.8</v>
      </c>
      <c r="K613">
        <f>Table1[[#This Row],[Liters_Sold]]</f>
        <v>5249</v>
      </c>
      <c r="L613">
        <f>Table1[[#This Row],[Delivery volume]]*0.05</f>
        <v>262.45</v>
      </c>
      <c r="M613" s="16">
        <f>Table1[[#This Row],[Delivery Cost]]/Table1[[#This Row],[Revenue]]</f>
        <v>4.1666666666666664E-2</v>
      </c>
      <c r="N613" t="str">
        <f t="shared" si="9"/>
        <v>Oct</v>
      </c>
    </row>
    <row r="614" spans="1:14" x14ac:dyDescent="0.2">
      <c r="A614" s="1">
        <v>45413</v>
      </c>
      <c r="B614" t="s">
        <v>22</v>
      </c>
      <c r="C614" t="s">
        <v>20</v>
      </c>
      <c r="D614" t="s">
        <v>12</v>
      </c>
      <c r="E614">
        <v>4005</v>
      </c>
      <c r="F614">
        <v>1.25</v>
      </c>
      <c r="G614">
        <v>1.05</v>
      </c>
      <c r="H614">
        <v>5006.25</v>
      </c>
      <c r="I614">
        <v>4205.25</v>
      </c>
      <c r="J614">
        <v>801</v>
      </c>
      <c r="K614">
        <f>Table1[[#This Row],[Liters_Sold]]</f>
        <v>4005</v>
      </c>
      <c r="L614">
        <f>Table1[[#This Row],[Delivery volume]]*0.05</f>
        <v>200.25</v>
      </c>
      <c r="M614" s="16">
        <f>Table1[[#This Row],[Delivery Cost]]/Table1[[#This Row],[Revenue]]</f>
        <v>0.04</v>
      </c>
      <c r="N614" t="str">
        <f t="shared" si="9"/>
        <v>May</v>
      </c>
    </row>
    <row r="615" spans="1:14" x14ac:dyDescent="0.2">
      <c r="A615" s="1">
        <v>45485</v>
      </c>
      <c r="B615" t="s">
        <v>26</v>
      </c>
      <c r="C615" t="s">
        <v>11</v>
      </c>
      <c r="D615" t="s">
        <v>12</v>
      </c>
      <c r="E615">
        <v>3975</v>
      </c>
      <c r="F615">
        <v>1.25</v>
      </c>
      <c r="G615">
        <v>1.05</v>
      </c>
      <c r="H615">
        <v>4968.75</v>
      </c>
      <c r="I615">
        <v>4173.75</v>
      </c>
      <c r="J615">
        <v>795</v>
      </c>
      <c r="K615">
        <f>Table1[[#This Row],[Liters_Sold]]</f>
        <v>3975</v>
      </c>
      <c r="L615">
        <f>Table1[[#This Row],[Delivery volume]]*0.05</f>
        <v>198.75</v>
      </c>
      <c r="M615" s="16">
        <f>Table1[[#This Row],[Delivery Cost]]/Table1[[#This Row],[Revenue]]</f>
        <v>0.04</v>
      </c>
      <c r="N615" t="str">
        <f t="shared" si="9"/>
        <v>Jul</v>
      </c>
    </row>
    <row r="616" spans="1:14" x14ac:dyDescent="0.2">
      <c r="A616" s="1">
        <v>45296</v>
      </c>
      <c r="B616" t="s">
        <v>28</v>
      </c>
      <c r="C616" t="s">
        <v>17</v>
      </c>
      <c r="D616" t="s">
        <v>18</v>
      </c>
      <c r="E616">
        <v>5029</v>
      </c>
      <c r="F616">
        <v>1.2</v>
      </c>
      <c r="G616">
        <v>1</v>
      </c>
      <c r="H616">
        <v>6034.8</v>
      </c>
      <c r="I616">
        <v>5029</v>
      </c>
      <c r="J616">
        <v>1005.8</v>
      </c>
      <c r="K616">
        <f>Table1[[#This Row],[Liters_Sold]]</f>
        <v>5029</v>
      </c>
      <c r="L616">
        <f>Table1[[#This Row],[Delivery volume]]*0.05</f>
        <v>251.45000000000002</v>
      </c>
      <c r="M616" s="16">
        <f>Table1[[#This Row],[Delivery Cost]]/Table1[[#This Row],[Revenue]]</f>
        <v>4.1666666666666671E-2</v>
      </c>
      <c r="N616" t="str">
        <f t="shared" si="9"/>
        <v>Jan</v>
      </c>
    </row>
    <row r="617" spans="1:14" x14ac:dyDescent="0.2">
      <c r="A617" s="1">
        <v>45320</v>
      </c>
      <c r="B617" t="s">
        <v>32</v>
      </c>
      <c r="C617" t="s">
        <v>29</v>
      </c>
      <c r="D617" t="s">
        <v>18</v>
      </c>
      <c r="E617">
        <v>1635</v>
      </c>
      <c r="F617">
        <v>1.2</v>
      </c>
      <c r="G617">
        <v>1</v>
      </c>
      <c r="H617">
        <v>1962</v>
      </c>
      <c r="I617">
        <v>1635</v>
      </c>
      <c r="J617">
        <v>327</v>
      </c>
      <c r="K617">
        <f>Table1[[#This Row],[Liters_Sold]]</f>
        <v>1635</v>
      </c>
      <c r="L617">
        <f>Table1[[#This Row],[Delivery volume]]*0.05</f>
        <v>81.75</v>
      </c>
      <c r="M617" s="16">
        <f>Table1[[#This Row],[Delivery Cost]]/Table1[[#This Row],[Revenue]]</f>
        <v>4.1666666666666664E-2</v>
      </c>
      <c r="N617" t="str">
        <f t="shared" si="9"/>
        <v>Jan</v>
      </c>
    </row>
    <row r="618" spans="1:14" x14ac:dyDescent="0.2">
      <c r="A618" s="1">
        <v>45456</v>
      </c>
      <c r="B618" t="s">
        <v>10</v>
      </c>
      <c r="C618" t="s">
        <v>20</v>
      </c>
      <c r="D618" t="s">
        <v>12</v>
      </c>
      <c r="E618">
        <v>4500</v>
      </c>
      <c r="F618">
        <v>1.25</v>
      </c>
      <c r="G618">
        <v>1.05</v>
      </c>
      <c r="H618">
        <v>5625</v>
      </c>
      <c r="I618">
        <v>4725</v>
      </c>
      <c r="J618">
        <v>900</v>
      </c>
      <c r="K618">
        <f>Table1[[#This Row],[Liters_Sold]]</f>
        <v>4500</v>
      </c>
      <c r="L618">
        <f>Table1[[#This Row],[Delivery volume]]*0.05</f>
        <v>225</v>
      </c>
      <c r="M618" s="16">
        <f>Table1[[#This Row],[Delivery Cost]]/Table1[[#This Row],[Revenue]]</f>
        <v>0.04</v>
      </c>
      <c r="N618" t="str">
        <f t="shared" si="9"/>
        <v>Jun</v>
      </c>
    </row>
    <row r="619" spans="1:14" x14ac:dyDescent="0.2">
      <c r="A619" s="1">
        <v>45630</v>
      </c>
      <c r="B619" t="s">
        <v>27</v>
      </c>
      <c r="C619" t="s">
        <v>17</v>
      </c>
      <c r="D619" t="s">
        <v>12</v>
      </c>
      <c r="E619">
        <v>874</v>
      </c>
      <c r="F619">
        <v>1.25</v>
      </c>
      <c r="G619">
        <v>1.05</v>
      </c>
      <c r="H619">
        <v>1092.5</v>
      </c>
      <c r="I619">
        <v>917.7</v>
      </c>
      <c r="J619">
        <v>174.79999999999899</v>
      </c>
      <c r="K619">
        <f>Table1[[#This Row],[Liters_Sold]]</f>
        <v>874</v>
      </c>
      <c r="L619">
        <f>Table1[[#This Row],[Delivery volume]]*0.05</f>
        <v>43.7</v>
      </c>
      <c r="M619" s="16">
        <f>Table1[[#This Row],[Delivery Cost]]/Table1[[#This Row],[Revenue]]</f>
        <v>0.04</v>
      </c>
      <c r="N619" t="str">
        <f t="shared" si="9"/>
        <v>Dec</v>
      </c>
    </row>
    <row r="620" spans="1:14" x14ac:dyDescent="0.2">
      <c r="A620" s="1">
        <v>45427</v>
      </c>
      <c r="B620" t="s">
        <v>28</v>
      </c>
      <c r="C620" t="s">
        <v>17</v>
      </c>
      <c r="D620" t="s">
        <v>18</v>
      </c>
      <c r="E620">
        <v>5662</v>
      </c>
      <c r="F620">
        <v>1.2</v>
      </c>
      <c r="G620">
        <v>1</v>
      </c>
      <c r="H620">
        <v>6794.4</v>
      </c>
      <c r="I620">
        <v>5662</v>
      </c>
      <c r="J620">
        <v>1132.3999999999901</v>
      </c>
      <c r="K620">
        <f>Table1[[#This Row],[Liters_Sold]]</f>
        <v>5662</v>
      </c>
      <c r="L620">
        <f>Table1[[#This Row],[Delivery volume]]*0.05</f>
        <v>283.10000000000002</v>
      </c>
      <c r="M620" s="16">
        <f>Table1[[#This Row],[Delivery Cost]]/Table1[[#This Row],[Revenue]]</f>
        <v>4.1666666666666671E-2</v>
      </c>
      <c r="N620" t="str">
        <f t="shared" si="9"/>
        <v>May</v>
      </c>
    </row>
    <row r="621" spans="1:14" x14ac:dyDescent="0.2">
      <c r="A621" s="1">
        <v>45656</v>
      </c>
      <c r="B621" t="s">
        <v>31</v>
      </c>
      <c r="C621" t="s">
        <v>11</v>
      </c>
      <c r="D621" t="s">
        <v>18</v>
      </c>
      <c r="E621">
        <v>706</v>
      </c>
      <c r="F621">
        <v>1.2</v>
      </c>
      <c r="G621">
        <v>1</v>
      </c>
      <c r="H621">
        <v>847.19999999999902</v>
      </c>
      <c r="I621">
        <v>706</v>
      </c>
      <c r="J621">
        <v>141.19999999999899</v>
      </c>
      <c r="K621">
        <f>Table1[[#This Row],[Liters_Sold]]</f>
        <v>706</v>
      </c>
      <c r="L621">
        <f>Table1[[#This Row],[Delivery volume]]*0.05</f>
        <v>35.300000000000004</v>
      </c>
      <c r="M621" s="16">
        <f>Table1[[#This Row],[Delivery Cost]]/Table1[[#This Row],[Revenue]]</f>
        <v>4.166666666666672E-2</v>
      </c>
      <c r="N621" t="str">
        <f t="shared" si="9"/>
        <v>Dec</v>
      </c>
    </row>
    <row r="622" spans="1:14" x14ac:dyDescent="0.2">
      <c r="A622" s="1">
        <v>45612</v>
      </c>
      <c r="B622" t="s">
        <v>19</v>
      </c>
      <c r="C622" t="s">
        <v>17</v>
      </c>
      <c r="D622" t="s">
        <v>14</v>
      </c>
      <c r="E622">
        <v>5375</v>
      </c>
      <c r="F622">
        <v>0.9</v>
      </c>
      <c r="G622">
        <v>0.7</v>
      </c>
      <c r="H622">
        <v>4837.5</v>
      </c>
      <c r="I622">
        <v>3762.49999999999</v>
      </c>
      <c r="J622">
        <v>1075</v>
      </c>
      <c r="K622">
        <f>Table1[[#This Row],[Liters_Sold]]</f>
        <v>5375</v>
      </c>
      <c r="L622">
        <f>Table1[[#This Row],[Delivery volume]]*0.05</f>
        <v>268.75</v>
      </c>
      <c r="M622" s="16">
        <f>Table1[[#This Row],[Delivery Cost]]/Table1[[#This Row],[Revenue]]</f>
        <v>5.5555555555555552E-2</v>
      </c>
      <c r="N622" t="str">
        <f t="shared" si="9"/>
        <v>Nov</v>
      </c>
    </row>
    <row r="623" spans="1:14" x14ac:dyDescent="0.2">
      <c r="A623" s="1">
        <v>45633</v>
      </c>
      <c r="B623" t="s">
        <v>25</v>
      </c>
      <c r="C623" t="s">
        <v>29</v>
      </c>
      <c r="D623" t="s">
        <v>18</v>
      </c>
      <c r="E623">
        <v>1819</v>
      </c>
      <c r="F623">
        <v>1.2</v>
      </c>
      <c r="G623">
        <v>1</v>
      </c>
      <c r="H623">
        <v>2182.7999999999902</v>
      </c>
      <c r="I623">
        <v>1819</v>
      </c>
      <c r="J623">
        <v>363.79999999999899</v>
      </c>
      <c r="K623">
        <f>Table1[[#This Row],[Liters_Sold]]</f>
        <v>1819</v>
      </c>
      <c r="L623">
        <f>Table1[[#This Row],[Delivery volume]]*0.05</f>
        <v>90.95</v>
      </c>
      <c r="M623" s="16">
        <f>Table1[[#This Row],[Delivery Cost]]/Table1[[#This Row],[Revenue]]</f>
        <v>4.1666666666666859E-2</v>
      </c>
      <c r="N623" t="str">
        <f t="shared" si="9"/>
        <v>Dec</v>
      </c>
    </row>
    <row r="624" spans="1:14" x14ac:dyDescent="0.2">
      <c r="A624" s="1">
        <v>45436</v>
      </c>
      <c r="B624" t="s">
        <v>24</v>
      </c>
      <c r="C624" t="s">
        <v>29</v>
      </c>
      <c r="D624" t="s">
        <v>14</v>
      </c>
      <c r="E624">
        <v>1641</v>
      </c>
      <c r="F624">
        <v>0.9</v>
      </c>
      <c r="G624">
        <v>0.7</v>
      </c>
      <c r="H624">
        <v>1476.9</v>
      </c>
      <c r="I624">
        <v>1148.69999999999</v>
      </c>
      <c r="J624">
        <v>328.2</v>
      </c>
      <c r="K624">
        <f>Table1[[#This Row],[Liters_Sold]]</f>
        <v>1641</v>
      </c>
      <c r="L624">
        <f>Table1[[#This Row],[Delivery volume]]*0.05</f>
        <v>82.050000000000011</v>
      </c>
      <c r="M624" s="16">
        <f>Table1[[#This Row],[Delivery Cost]]/Table1[[#This Row],[Revenue]]</f>
        <v>5.5555555555555559E-2</v>
      </c>
      <c r="N624" t="str">
        <f t="shared" si="9"/>
        <v>May</v>
      </c>
    </row>
    <row r="625" spans="1:14" x14ac:dyDescent="0.2">
      <c r="A625" s="1">
        <v>45618</v>
      </c>
      <c r="B625" t="s">
        <v>16</v>
      </c>
      <c r="C625" t="s">
        <v>23</v>
      </c>
      <c r="D625" t="s">
        <v>18</v>
      </c>
      <c r="E625">
        <v>5127</v>
      </c>
      <c r="F625">
        <v>1.2</v>
      </c>
      <c r="G625">
        <v>1</v>
      </c>
      <c r="H625">
        <v>6152.4</v>
      </c>
      <c r="I625">
        <v>5127</v>
      </c>
      <c r="J625">
        <v>1025.3999999999901</v>
      </c>
      <c r="K625">
        <f>Table1[[#This Row],[Liters_Sold]]</f>
        <v>5127</v>
      </c>
      <c r="L625">
        <f>Table1[[#This Row],[Delivery volume]]*0.05</f>
        <v>256.35000000000002</v>
      </c>
      <c r="M625" s="16">
        <f>Table1[[#This Row],[Delivery Cost]]/Table1[[#This Row],[Revenue]]</f>
        <v>4.1666666666666671E-2</v>
      </c>
      <c r="N625" t="str">
        <f t="shared" si="9"/>
        <v>Nov</v>
      </c>
    </row>
    <row r="626" spans="1:14" x14ac:dyDescent="0.2">
      <c r="A626" s="1">
        <v>45508</v>
      </c>
      <c r="B626" t="s">
        <v>28</v>
      </c>
      <c r="C626" t="s">
        <v>29</v>
      </c>
      <c r="D626" t="s">
        <v>12</v>
      </c>
      <c r="E626">
        <v>3190</v>
      </c>
      <c r="F626">
        <v>1.25</v>
      </c>
      <c r="G626">
        <v>1.05</v>
      </c>
      <c r="H626">
        <v>3987.5</v>
      </c>
      <c r="I626">
        <v>3349.5</v>
      </c>
      <c r="J626">
        <v>638</v>
      </c>
      <c r="K626">
        <f>Table1[[#This Row],[Liters_Sold]]</f>
        <v>3190</v>
      </c>
      <c r="L626">
        <f>Table1[[#This Row],[Delivery volume]]*0.05</f>
        <v>159.5</v>
      </c>
      <c r="M626" s="16">
        <f>Table1[[#This Row],[Delivery Cost]]/Table1[[#This Row],[Revenue]]</f>
        <v>0.04</v>
      </c>
      <c r="N626" t="str">
        <f t="shared" si="9"/>
        <v>Aug</v>
      </c>
    </row>
    <row r="627" spans="1:14" x14ac:dyDescent="0.2">
      <c r="A627" s="1">
        <v>45592</v>
      </c>
      <c r="B627" t="s">
        <v>15</v>
      </c>
      <c r="C627" t="s">
        <v>17</v>
      </c>
      <c r="D627" t="s">
        <v>12</v>
      </c>
      <c r="E627">
        <v>3755</v>
      </c>
      <c r="F627">
        <v>1.25</v>
      </c>
      <c r="G627">
        <v>1.05</v>
      </c>
      <c r="H627">
        <v>4693.75</v>
      </c>
      <c r="I627">
        <v>3942.75</v>
      </c>
      <c r="J627">
        <v>751</v>
      </c>
      <c r="K627">
        <f>Table1[[#This Row],[Liters_Sold]]</f>
        <v>3755</v>
      </c>
      <c r="L627">
        <f>Table1[[#This Row],[Delivery volume]]*0.05</f>
        <v>187.75</v>
      </c>
      <c r="M627" s="16">
        <f>Table1[[#This Row],[Delivery Cost]]/Table1[[#This Row],[Revenue]]</f>
        <v>0.04</v>
      </c>
      <c r="N627" t="str">
        <f t="shared" si="9"/>
        <v>Oct</v>
      </c>
    </row>
    <row r="628" spans="1:14" x14ac:dyDescent="0.2">
      <c r="A628" s="1">
        <v>45423</v>
      </c>
      <c r="B628" t="s">
        <v>24</v>
      </c>
      <c r="C628" t="s">
        <v>29</v>
      </c>
      <c r="D628" t="s">
        <v>18</v>
      </c>
      <c r="E628">
        <v>589</v>
      </c>
      <c r="F628">
        <v>1.2</v>
      </c>
      <c r="G628">
        <v>1</v>
      </c>
      <c r="H628">
        <v>706.8</v>
      </c>
      <c r="I628">
        <v>589</v>
      </c>
      <c r="J628">
        <v>117.799999999999</v>
      </c>
      <c r="K628">
        <f>Table1[[#This Row],[Liters_Sold]]</f>
        <v>589</v>
      </c>
      <c r="L628">
        <f>Table1[[#This Row],[Delivery volume]]*0.05</f>
        <v>29.450000000000003</v>
      </c>
      <c r="M628" s="16">
        <f>Table1[[#This Row],[Delivery Cost]]/Table1[[#This Row],[Revenue]]</f>
        <v>4.1666666666666671E-2</v>
      </c>
      <c r="N628" t="str">
        <f t="shared" si="9"/>
        <v>May</v>
      </c>
    </row>
    <row r="629" spans="1:14" x14ac:dyDescent="0.2">
      <c r="A629" s="1">
        <v>45583</v>
      </c>
      <c r="B629" t="s">
        <v>10</v>
      </c>
      <c r="C629" t="s">
        <v>11</v>
      </c>
      <c r="D629" t="s">
        <v>18</v>
      </c>
      <c r="E629">
        <v>5713</v>
      </c>
      <c r="F629">
        <v>1.2</v>
      </c>
      <c r="G629">
        <v>1</v>
      </c>
      <c r="H629">
        <v>6855.5999999999904</v>
      </c>
      <c r="I629">
        <v>5713</v>
      </c>
      <c r="J629">
        <v>1142.5999999999899</v>
      </c>
      <c r="K629">
        <f>Table1[[#This Row],[Liters_Sold]]</f>
        <v>5713</v>
      </c>
      <c r="L629">
        <f>Table1[[#This Row],[Delivery volume]]*0.05</f>
        <v>285.65000000000003</v>
      </c>
      <c r="M629" s="16">
        <f>Table1[[#This Row],[Delivery Cost]]/Table1[[#This Row],[Revenue]]</f>
        <v>4.1666666666666727E-2</v>
      </c>
      <c r="N629" t="str">
        <f t="shared" si="9"/>
        <v>Oct</v>
      </c>
    </row>
    <row r="630" spans="1:14" x14ac:dyDescent="0.2">
      <c r="A630" s="1">
        <v>45361</v>
      </c>
      <c r="B630" t="s">
        <v>32</v>
      </c>
      <c r="C630" t="s">
        <v>23</v>
      </c>
      <c r="D630" t="s">
        <v>12</v>
      </c>
      <c r="E630">
        <v>4608</v>
      </c>
      <c r="F630">
        <v>1.25</v>
      </c>
      <c r="G630">
        <v>1.05</v>
      </c>
      <c r="H630">
        <v>5760</v>
      </c>
      <c r="I630">
        <v>4838.3999999999996</v>
      </c>
      <c r="J630">
        <v>921.599999999999</v>
      </c>
      <c r="K630">
        <f>Table1[[#This Row],[Liters_Sold]]</f>
        <v>4608</v>
      </c>
      <c r="L630">
        <f>Table1[[#This Row],[Delivery volume]]*0.05</f>
        <v>230.4</v>
      </c>
      <c r="M630" s="16">
        <f>Table1[[#This Row],[Delivery Cost]]/Table1[[#This Row],[Revenue]]</f>
        <v>0.04</v>
      </c>
      <c r="N630" t="str">
        <f t="shared" si="9"/>
        <v>Mar</v>
      </c>
    </row>
    <row r="631" spans="1:14" x14ac:dyDescent="0.2">
      <c r="A631" s="1">
        <v>45543</v>
      </c>
      <c r="B631" t="s">
        <v>13</v>
      </c>
      <c r="C631" t="s">
        <v>17</v>
      </c>
      <c r="D631" t="s">
        <v>12</v>
      </c>
      <c r="E631">
        <v>3520</v>
      </c>
      <c r="F631">
        <v>1.25</v>
      </c>
      <c r="G631">
        <v>1.05</v>
      </c>
      <c r="H631">
        <v>4400</v>
      </c>
      <c r="I631">
        <v>3696</v>
      </c>
      <c r="J631">
        <v>704</v>
      </c>
      <c r="K631">
        <f>Table1[[#This Row],[Liters_Sold]]</f>
        <v>3520</v>
      </c>
      <c r="L631">
        <f>Table1[[#This Row],[Delivery volume]]*0.05</f>
        <v>176</v>
      </c>
      <c r="M631" s="16">
        <f>Table1[[#This Row],[Delivery Cost]]/Table1[[#This Row],[Revenue]]</f>
        <v>0.04</v>
      </c>
      <c r="N631" t="str">
        <f t="shared" si="9"/>
        <v>Sep</v>
      </c>
    </row>
    <row r="632" spans="1:14" x14ac:dyDescent="0.2">
      <c r="A632" s="1">
        <v>45566</v>
      </c>
      <c r="B632" t="s">
        <v>28</v>
      </c>
      <c r="C632" t="s">
        <v>23</v>
      </c>
      <c r="D632" t="s">
        <v>14</v>
      </c>
      <c r="E632">
        <v>2357</v>
      </c>
      <c r="F632">
        <v>0.9</v>
      </c>
      <c r="G632">
        <v>0.7</v>
      </c>
      <c r="H632">
        <v>2121.3000000000002</v>
      </c>
      <c r="I632">
        <v>1649.8999999999901</v>
      </c>
      <c r="J632">
        <v>471.4</v>
      </c>
      <c r="K632">
        <f>Table1[[#This Row],[Liters_Sold]]</f>
        <v>2357</v>
      </c>
      <c r="L632">
        <f>Table1[[#This Row],[Delivery volume]]*0.05</f>
        <v>117.85000000000001</v>
      </c>
      <c r="M632" s="16">
        <f>Table1[[#This Row],[Delivery Cost]]/Table1[[#This Row],[Revenue]]</f>
        <v>5.5555555555555552E-2</v>
      </c>
      <c r="N632" t="str">
        <f t="shared" si="9"/>
        <v>Oct</v>
      </c>
    </row>
    <row r="633" spans="1:14" x14ac:dyDescent="0.2">
      <c r="A633" s="1">
        <v>45655</v>
      </c>
      <c r="B633" t="s">
        <v>19</v>
      </c>
      <c r="C633" t="s">
        <v>17</v>
      </c>
      <c r="D633" t="s">
        <v>18</v>
      </c>
      <c r="E633">
        <v>1304</v>
      </c>
      <c r="F633">
        <v>1.2</v>
      </c>
      <c r="G633">
        <v>1</v>
      </c>
      <c r="H633">
        <v>1564.8</v>
      </c>
      <c r="I633">
        <v>1304</v>
      </c>
      <c r="J633">
        <v>260.79999999999899</v>
      </c>
      <c r="K633">
        <f>Table1[[#This Row],[Liters_Sold]]</f>
        <v>1304</v>
      </c>
      <c r="L633">
        <f>Table1[[#This Row],[Delivery volume]]*0.05</f>
        <v>65.2</v>
      </c>
      <c r="M633" s="16">
        <f>Table1[[#This Row],[Delivery Cost]]/Table1[[#This Row],[Revenue]]</f>
        <v>4.1666666666666671E-2</v>
      </c>
      <c r="N633" t="str">
        <f t="shared" si="9"/>
        <v>Dec</v>
      </c>
    </row>
    <row r="634" spans="1:14" x14ac:dyDescent="0.2">
      <c r="A634" s="1">
        <v>45473</v>
      </c>
      <c r="B634" t="s">
        <v>24</v>
      </c>
      <c r="C634" t="s">
        <v>11</v>
      </c>
      <c r="D634" t="s">
        <v>12</v>
      </c>
      <c r="E634">
        <v>1444</v>
      </c>
      <c r="F634">
        <v>1.25</v>
      </c>
      <c r="G634">
        <v>1.05</v>
      </c>
      <c r="H634">
        <v>1805</v>
      </c>
      <c r="I634">
        <v>1516.2</v>
      </c>
      <c r="J634">
        <v>288.79999999999899</v>
      </c>
      <c r="K634">
        <f>Table1[[#This Row],[Liters_Sold]]</f>
        <v>1444</v>
      </c>
      <c r="L634">
        <f>Table1[[#This Row],[Delivery volume]]*0.05</f>
        <v>72.2</v>
      </c>
      <c r="M634" s="16">
        <f>Table1[[#This Row],[Delivery Cost]]/Table1[[#This Row],[Revenue]]</f>
        <v>0.04</v>
      </c>
      <c r="N634" t="str">
        <f t="shared" si="9"/>
        <v>Jun</v>
      </c>
    </row>
    <row r="635" spans="1:14" x14ac:dyDescent="0.2">
      <c r="A635" s="1">
        <v>45458</v>
      </c>
      <c r="B635" t="s">
        <v>16</v>
      </c>
      <c r="C635" t="s">
        <v>23</v>
      </c>
      <c r="D635" t="s">
        <v>12</v>
      </c>
      <c r="E635">
        <v>3289</v>
      </c>
      <c r="F635">
        <v>1.25</v>
      </c>
      <c r="G635">
        <v>1.05</v>
      </c>
      <c r="H635">
        <v>4111.25</v>
      </c>
      <c r="I635">
        <v>3453.45</v>
      </c>
      <c r="J635">
        <v>657.79999999999905</v>
      </c>
      <c r="K635">
        <f>Table1[[#This Row],[Liters_Sold]]</f>
        <v>3289</v>
      </c>
      <c r="L635">
        <f>Table1[[#This Row],[Delivery volume]]*0.05</f>
        <v>164.45000000000002</v>
      </c>
      <c r="M635" s="16">
        <f>Table1[[#This Row],[Delivery Cost]]/Table1[[#This Row],[Revenue]]</f>
        <v>0.04</v>
      </c>
      <c r="N635" t="str">
        <f t="shared" si="9"/>
        <v>Jun</v>
      </c>
    </row>
    <row r="636" spans="1:14" x14ac:dyDescent="0.2">
      <c r="A636" s="1">
        <v>45382</v>
      </c>
      <c r="B636" t="s">
        <v>26</v>
      </c>
      <c r="C636" t="s">
        <v>20</v>
      </c>
      <c r="D636" t="s">
        <v>12</v>
      </c>
      <c r="E636">
        <v>4375</v>
      </c>
      <c r="F636">
        <v>1.25</v>
      </c>
      <c r="G636">
        <v>1.05</v>
      </c>
      <c r="H636">
        <v>5468.75</v>
      </c>
      <c r="I636">
        <v>4593.75</v>
      </c>
      <c r="J636">
        <v>875</v>
      </c>
      <c r="K636">
        <f>Table1[[#This Row],[Liters_Sold]]</f>
        <v>4375</v>
      </c>
      <c r="L636">
        <f>Table1[[#This Row],[Delivery volume]]*0.05</f>
        <v>218.75</v>
      </c>
      <c r="M636" s="16">
        <f>Table1[[#This Row],[Delivery Cost]]/Table1[[#This Row],[Revenue]]</f>
        <v>0.04</v>
      </c>
      <c r="N636" t="str">
        <f t="shared" si="9"/>
        <v>Mar</v>
      </c>
    </row>
    <row r="637" spans="1:14" x14ac:dyDescent="0.2">
      <c r="A637" s="1">
        <v>45493</v>
      </c>
      <c r="B637" t="s">
        <v>28</v>
      </c>
      <c r="C637" t="s">
        <v>17</v>
      </c>
      <c r="D637" t="s">
        <v>12</v>
      </c>
      <c r="E637">
        <v>2110</v>
      </c>
      <c r="F637">
        <v>1.25</v>
      </c>
      <c r="G637">
        <v>1.05</v>
      </c>
      <c r="H637">
        <v>2637.5</v>
      </c>
      <c r="I637">
        <v>2215.5</v>
      </c>
      <c r="J637">
        <v>422</v>
      </c>
      <c r="K637">
        <f>Table1[[#This Row],[Liters_Sold]]</f>
        <v>2110</v>
      </c>
      <c r="L637">
        <f>Table1[[#This Row],[Delivery volume]]*0.05</f>
        <v>105.5</v>
      </c>
      <c r="M637" s="16">
        <f>Table1[[#This Row],[Delivery Cost]]/Table1[[#This Row],[Revenue]]</f>
        <v>0.04</v>
      </c>
      <c r="N637" t="str">
        <f t="shared" si="9"/>
        <v>Jul</v>
      </c>
    </row>
    <row r="638" spans="1:14" x14ac:dyDescent="0.2">
      <c r="A638" s="1">
        <v>45637</v>
      </c>
      <c r="B638" t="s">
        <v>21</v>
      </c>
      <c r="C638" t="s">
        <v>20</v>
      </c>
      <c r="D638" t="s">
        <v>12</v>
      </c>
      <c r="E638">
        <v>3423</v>
      </c>
      <c r="F638">
        <v>1.25</v>
      </c>
      <c r="G638">
        <v>1.05</v>
      </c>
      <c r="H638">
        <v>4278.75</v>
      </c>
      <c r="I638">
        <v>3594.15</v>
      </c>
      <c r="J638">
        <v>684.599999999999</v>
      </c>
      <c r="K638">
        <f>Table1[[#This Row],[Liters_Sold]]</f>
        <v>3423</v>
      </c>
      <c r="L638">
        <f>Table1[[#This Row],[Delivery volume]]*0.05</f>
        <v>171.15</v>
      </c>
      <c r="M638" s="16">
        <f>Table1[[#This Row],[Delivery Cost]]/Table1[[#This Row],[Revenue]]</f>
        <v>0.04</v>
      </c>
      <c r="N638" t="str">
        <f t="shared" si="9"/>
        <v>Dec</v>
      </c>
    </row>
    <row r="639" spans="1:14" x14ac:dyDescent="0.2">
      <c r="A639" s="1">
        <v>45310</v>
      </c>
      <c r="B639" t="s">
        <v>32</v>
      </c>
      <c r="C639" t="s">
        <v>23</v>
      </c>
      <c r="D639" t="s">
        <v>12</v>
      </c>
      <c r="E639">
        <v>4382</v>
      </c>
      <c r="F639">
        <v>1.25</v>
      </c>
      <c r="G639">
        <v>1.05</v>
      </c>
      <c r="H639">
        <v>5477.5</v>
      </c>
      <c r="I639">
        <v>4601.1000000000004</v>
      </c>
      <c r="J639">
        <v>876.39999999999895</v>
      </c>
      <c r="K639">
        <f>Table1[[#This Row],[Liters_Sold]]</f>
        <v>4382</v>
      </c>
      <c r="L639">
        <f>Table1[[#This Row],[Delivery volume]]*0.05</f>
        <v>219.10000000000002</v>
      </c>
      <c r="M639" s="16">
        <f>Table1[[#This Row],[Delivery Cost]]/Table1[[#This Row],[Revenue]]</f>
        <v>0.04</v>
      </c>
      <c r="N639" t="str">
        <f t="shared" si="9"/>
        <v>Jan</v>
      </c>
    </row>
    <row r="640" spans="1:14" x14ac:dyDescent="0.2">
      <c r="A640" s="1">
        <v>45330</v>
      </c>
      <c r="B640" t="s">
        <v>10</v>
      </c>
      <c r="C640" t="s">
        <v>20</v>
      </c>
      <c r="D640" t="s">
        <v>18</v>
      </c>
      <c r="E640">
        <v>3721</v>
      </c>
      <c r="F640">
        <v>1.2</v>
      </c>
      <c r="G640">
        <v>1</v>
      </c>
      <c r="H640">
        <v>4465.2</v>
      </c>
      <c r="I640">
        <v>3721</v>
      </c>
      <c r="J640">
        <v>744.19999999999902</v>
      </c>
      <c r="K640">
        <f>Table1[[#This Row],[Liters_Sold]]</f>
        <v>3721</v>
      </c>
      <c r="L640">
        <f>Table1[[#This Row],[Delivery volume]]*0.05</f>
        <v>186.05</v>
      </c>
      <c r="M640" s="16">
        <f>Table1[[#This Row],[Delivery Cost]]/Table1[[#This Row],[Revenue]]</f>
        <v>4.1666666666666671E-2</v>
      </c>
      <c r="N640" t="str">
        <f t="shared" si="9"/>
        <v>Feb</v>
      </c>
    </row>
    <row r="641" spans="1:14" x14ac:dyDescent="0.2">
      <c r="A641" s="1">
        <v>45417</v>
      </c>
      <c r="B641" t="s">
        <v>25</v>
      </c>
      <c r="C641" t="s">
        <v>20</v>
      </c>
      <c r="D641" t="s">
        <v>12</v>
      </c>
      <c r="E641">
        <v>5648</v>
      </c>
      <c r="F641">
        <v>1.25</v>
      </c>
      <c r="G641">
        <v>1.05</v>
      </c>
      <c r="H641">
        <v>7060</v>
      </c>
      <c r="I641">
        <v>5930.4</v>
      </c>
      <c r="J641">
        <v>1129.5999999999899</v>
      </c>
      <c r="K641">
        <f>Table1[[#This Row],[Liters_Sold]]</f>
        <v>5648</v>
      </c>
      <c r="L641">
        <f>Table1[[#This Row],[Delivery volume]]*0.05</f>
        <v>282.40000000000003</v>
      </c>
      <c r="M641" s="16">
        <f>Table1[[#This Row],[Delivery Cost]]/Table1[[#This Row],[Revenue]]</f>
        <v>4.0000000000000008E-2</v>
      </c>
      <c r="N641" t="str">
        <f t="shared" si="9"/>
        <v>May</v>
      </c>
    </row>
    <row r="642" spans="1:14" x14ac:dyDescent="0.2">
      <c r="A642" s="1">
        <v>45464</v>
      </c>
      <c r="B642" t="s">
        <v>19</v>
      </c>
      <c r="C642" t="s">
        <v>23</v>
      </c>
      <c r="D642" t="s">
        <v>18</v>
      </c>
      <c r="E642">
        <v>4891</v>
      </c>
      <c r="F642">
        <v>1.2</v>
      </c>
      <c r="G642">
        <v>1</v>
      </c>
      <c r="H642">
        <v>5869.2</v>
      </c>
      <c r="I642">
        <v>4891</v>
      </c>
      <c r="J642">
        <v>978.19999999999902</v>
      </c>
      <c r="K642">
        <f>Table1[[#This Row],[Liters_Sold]]</f>
        <v>4891</v>
      </c>
      <c r="L642">
        <f>Table1[[#This Row],[Delivery volume]]*0.05</f>
        <v>244.55</v>
      </c>
      <c r="M642" s="16">
        <f>Table1[[#This Row],[Delivery Cost]]/Table1[[#This Row],[Revenue]]</f>
        <v>4.1666666666666671E-2</v>
      </c>
      <c r="N642" t="str">
        <f t="shared" ref="N642:N705" si="10">TEXT(A642,"mmm")</f>
        <v>Jun</v>
      </c>
    </row>
    <row r="643" spans="1:14" x14ac:dyDescent="0.2">
      <c r="A643" s="1">
        <v>45432</v>
      </c>
      <c r="B643" t="s">
        <v>30</v>
      </c>
      <c r="C643" t="s">
        <v>11</v>
      </c>
      <c r="D643" t="s">
        <v>14</v>
      </c>
      <c r="E643">
        <v>5521</v>
      </c>
      <c r="F643">
        <v>0.9</v>
      </c>
      <c r="G643">
        <v>0.7</v>
      </c>
      <c r="H643">
        <v>4968.8999999999996</v>
      </c>
      <c r="I643">
        <v>3864.7</v>
      </c>
      <c r="J643">
        <v>1104.2</v>
      </c>
      <c r="K643">
        <f>Table1[[#This Row],[Liters_Sold]]</f>
        <v>5521</v>
      </c>
      <c r="L643">
        <f>Table1[[#This Row],[Delivery volume]]*0.05</f>
        <v>276.05</v>
      </c>
      <c r="M643" s="16">
        <f>Table1[[#This Row],[Delivery Cost]]/Table1[[#This Row],[Revenue]]</f>
        <v>5.5555555555555559E-2</v>
      </c>
      <c r="N643" t="str">
        <f t="shared" si="10"/>
        <v>May</v>
      </c>
    </row>
    <row r="644" spans="1:14" x14ac:dyDescent="0.2">
      <c r="A644" s="1">
        <v>45533</v>
      </c>
      <c r="B644" t="s">
        <v>30</v>
      </c>
      <c r="C644" t="s">
        <v>20</v>
      </c>
      <c r="D644" t="s">
        <v>12</v>
      </c>
      <c r="E644">
        <v>5235</v>
      </c>
      <c r="F644">
        <v>1.25</v>
      </c>
      <c r="G644">
        <v>1.05</v>
      </c>
      <c r="H644">
        <v>6543.75</v>
      </c>
      <c r="I644">
        <v>5496.75</v>
      </c>
      <c r="J644">
        <v>1047</v>
      </c>
      <c r="K644">
        <f>Table1[[#This Row],[Liters_Sold]]</f>
        <v>5235</v>
      </c>
      <c r="L644">
        <f>Table1[[#This Row],[Delivery volume]]*0.05</f>
        <v>261.75</v>
      </c>
      <c r="M644" s="16">
        <f>Table1[[#This Row],[Delivery Cost]]/Table1[[#This Row],[Revenue]]</f>
        <v>0.04</v>
      </c>
      <c r="N644" t="str">
        <f t="shared" si="10"/>
        <v>Aug</v>
      </c>
    </row>
    <row r="645" spans="1:14" x14ac:dyDescent="0.2">
      <c r="A645" s="1">
        <v>45511</v>
      </c>
      <c r="B645" t="s">
        <v>15</v>
      </c>
      <c r="C645" t="s">
        <v>20</v>
      </c>
      <c r="D645" t="s">
        <v>18</v>
      </c>
      <c r="E645">
        <v>2887</v>
      </c>
      <c r="F645">
        <v>1.2</v>
      </c>
      <c r="G645">
        <v>1</v>
      </c>
      <c r="H645">
        <v>3464.4</v>
      </c>
      <c r="I645">
        <v>2887</v>
      </c>
      <c r="J645">
        <v>577.4</v>
      </c>
      <c r="K645">
        <f>Table1[[#This Row],[Liters_Sold]]</f>
        <v>2887</v>
      </c>
      <c r="L645">
        <f>Table1[[#This Row],[Delivery volume]]*0.05</f>
        <v>144.35</v>
      </c>
      <c r="M645" s="16">
        <f>Table1[[#This Row],[Delivery Cost]]/Table1[[#This Row],[Revenue]]</f>
        <v>4.1666666666666664E-2</v>
      </c>
      <c r="N645" t="str">
        <f t="shared" si="10"/>
        <v>Aug</v>
      </c>
    </row>
    <row r="646" spans="1:14" x14ac:dyDescent="0.2">
      <c r="A646" s="1">
        <v>45417</v>
      </c>
      <c r="B646" t="s">
        <v>24</v>
      </c>
      <c r="C646" t="s">
        <v>11</v>
      </c>
      <c r="D646" t="s">
        <v>12</v>
      </c>
      <c r="E646">
        <v>5223</v>
      </c>
      <c r="F646">
        <v>1.25</v>
      </c>
      <c r="G646">
        <v>1.05</v>
      </c>
      <c r="H646">
        <v>6528.75</v>
      </c>
      <c r="I646">
        <v>5484.15</v>
      </c>
      <c r="J646">
        <v>1044.5999999999899</v>
      </c>
      <c r="K646">
        <f>Table1[[#This Row],[Liters_Sold]]</f>
        <v>5223</v>
      </c>
      <c r="L646">
        <f>Table1[[#This Row],[Delivery volume]]*0.05</f>
        <v>261.15000000000003</v>
      </c>
      <c r="M646" s="16">
        <f>Table1[[#This Row],[Delivery Cost]]/Table1[[#This Row],[Revenue]]</f>
        <v>4.0000000000000008E-2</v>
      </c>
      <c r="N646" t="str">
        <f t="shared" si="10"/>
        <v>May</v>
      </c>
    </row>
    <row r="647" spans="1:14" x14ac:dyDescent="0.2">
      <c r="A647" s="1">
        <v>45349</v>
      </c>
      <c r="B647" t="s">
        <v>19</v>
      </c>
      <c r="C647" t="s">
        <v>20</v>
      </c>
      <c r="D647" t="s">
        <v>14</v>
      </c>
      <c r="E647">
        <v>5763</v>
      </c>
      <c r="F647">
        <v>0.9</v>
      </c>
      <c r="G647">
        <v>0.7</v>
      </c>
      <c r="H647">
        <v>5186.7</v>
      </c>
      <c r="I647">
        <v>4034.1</v>
      </c>
      <c r="J647">
        <v>1152.5999999999999</v>
      </c>
      <c r="K647">
        <f>Table1[[#This Row],[Liters_Sold]]</f>
        <v>5763</v>
      </c>
      <c r="L647">
        <f>Table1[[#This Row],[Delivery volume]]*0.05</f>
        <v>288.15000000000003</v>
      </c>
      <c r="M647" s="16">
        <f>Table1[[#This Row],[Delivery Cost]]/Table1[[#This Row],[Revenue]]</f>
        <v>5.5555555555555566E-2</v>
      </c>
      <c r="N647" t="str">
        <f t="shared" si="10"/>
        <v>Feb</v>
      </c>
    </row>
    <row r="648" spans="1:14" x14ac:dyDescent="0.2">
      <c r="A648" s="1">
        <v>45439</v>
      </c>
      <c r="B648" t="s">
        <v>27</v>
      </c>
      <c r="C648" t="s">
        <v>20</v>
      </c>
      <c r="D648" t="s">
        <v>12</v>
      </c>
      <c r="E648">
        <v>1441</v>
      </c>
      <c r="F648">
        <v>1.25</v>
      </c>
      <c r="G648">
        <v>1.05</v>
      </c>
      <c r="H648">
        <v>1801.25</v>
      </c>
      <c r="I648">
        <v>1513.05</v>
      </c>
      <c r="J648">
        <v>288.2</v>
      </c>
      <c r="K648">
        <f>Table1[[#This Row],[Liters_Sold]]</f>
        <v>1441</v>
      </c>
      <c r="L648">
        <f>Table1[[#This Row],[Delivery volume]]*0.05</f>
        <v>72.05</v>
      </c>
      <c r="M648" s="16">
        <f>Table1[[#This Row],[Delivery Cost]]/Table1[[#This Row],[Revenue]]</f>
        <v>0.04</v>
      </c>
      <c r="N648" t="str">
        <f t="shared" si="10"/>
        <v>May</v>
      </c>
    </row>
    <row r="649" spans="1:14" x14ac:dyDescent="0.2">
      <c r="A649" s="1">
        <v>45608</v>
      </c>
      <c r="B649" t="s">
        <v>16</v>
      </c>
      <c r="C649" t="s">
        <v>20</v>
      </c>
      <c r="D649" t="s">
        <v>18</v>
      </c>
      <c r="E649">
        <v>5425</v>
      </c>
      <c r="F649">
        <v>1.2</v>
      </c>
      <c r="G649">
        <v>1</v>
      </c>
      <c r="H649">
        <v>6510</v>
      </c>
      <c r="I649">
        <v>5425</v>
      </c>
      <c r="J649">
        <v>1085</v>
      </c>
      <c r="K649">
        <f>Table1[[#This Row],[Liters_Sold]]</f>
        <v>5425</v>
      </c>
      <c r="L649">
        <f>Table1[[#This Row],[Delivery volume]]*0.05</f>
        <v>271.25</v>
      </c>
      <c r="M649" s="16">
        <f>Table1[[#This Row],[Delivery Cost]]/Table1[[#This Row],[Revenue]]</f>
        <v>4.1666666666666664E-2</v>
      </c>
      <c r="N649" t="str">
        <f t="shared" si="10"/>
        <v>Nov</v>
      </c>
    </row>
    <row r="650" spans="1:14" x14ac:dyDescent="0.2">
      <c r="A650" s="1">
        <v>45652</v>
      </c>
      <c r="B650" t="s">
        <v>25</v>
      </c>
      <c r="C650" t="s">
        <v>29</v>
      </c>
      <c r="D650" t="s">
        <v>18</v>
      </c>
      <c r="E650">
        <v>3066</v>
      </c>
      <c r="F650">
        <v>1.2</v>
      </c>
      <c r="G650">
        <v>1</v>
      </c>
      <c r="H650">
        <v>3679.2</v>
      </c>
      <c r="I650">
        <v>3066</v>
      </c>
      <c r="J650">
        <v>613.19999999999902</v>
      </c>
      <c r="K650">
        <f>Table1[[#This Row],[Liters_Sold]]</f>
        <v>3066</v>
      </c>
      <c r="L650">
        <f>Table1[[#This Row],[Delivery volume]]*0.05</f>
        <v>153.30000000000001</v>
      </c>
      <c r="M650" s="16">
        <f>Table1[[#This Row],[Delivery Cost]]/Table1[[#This Row],[Revenue]]</f>
        <v>4.1666666666666671E-2</v>
      </c>
      <c r="N650" t="str">
        <f t="shared" si="10"/>
        <v>Dec</v>
      </c>
    </row>
    <row r="651" spans="1:14" x14ac:dyDescent="0.2">
      <c r="A651" s="1">
        <v>45292</v>
      </c>
      <c r="B651" t="s">
        <v>26</v>
      </c>
      <c r="C651" t="s">
        <v>11</v>
      </c>
      <c r="D651" t="s">
        <v>12</v>
      </c>
      <c r="E651">
        <v>1475</v>
      </c>
      <c r="F651">
        <v>1.25</v>
      </c>
      <c r="G651">
        <v>1.05</v>
      </c>
      <c r="H651">
        <v>1843.75</v>
      </c>
      <c r="I651">
        <v>1548.75</v>
      </c>
      <c r="J651">
        <v>295</v>
      </c>
      <c r="K651">
        <f>Table1[[#This Row],[Liters_Sold]]</f>
        <v>1475</v>
      </c>
      <c r="L651">
        <f>Table1[[#This Row],[Delivery volume]]*0.05</f>
        <v>73.75</v>
      </c>
      <c r="M651" s="16">
        <f>Table1[[#This Row],[Delivery Cost]]/Table1[[#This Row],[Revenue]]</f>
        <v>0.04</v>
      </c>
      <c r="N651" t="str">
        <f t="shared" si="10"/>
        <v>Jan</v>
      </c>
    </row>
    <row r="652" spans="1:14" x14ac:dyDescent="0.2">
      <c r="A652" s="1">
        <v>45639</v>
      </c>
      <c r="B652" t="s">
        <v>28</v>
      </c>
      <c r="C652" t="s">
        <v>20</v>
      </c>
      <c r="D652" t="s">
        <v>12</v>
      </c>
      <c r="E652">
        <v>1454</v>
      </c>
      <c r="F652">
        <v>1.25</v>
      </c>
      <c r="G652">
        <v>1.05</v>
      </c>
      <c r="H652">
        <v>1817.5</v>
      </c>
      <c r="I652">
        <v>1526.7</v>
      </c>
      <c r="J652">
        <v>290.79999999999899</v>
      </c>
      <c r="K652">
        <f>Table1[[#This Row],[Liters_Sold]]</f>
        <v>1454</v>
      </c>
      <c r="L652">
        <f>Table1[[#This Row],[Delivery volume]]*0.05</f>
        <v>72.7</v>
      </c>
      <c r="M652" s="16">
        <f>Table1[[#This Row],[Delivery Cost]]/Table1[[#This Row],[Revenue]]</f>
        <v>0.04</v>
      </c>
      <c r="N652" t="str">
        <f t="shared" si="10"/>
        <v>Dec</v>
      </c>
    </row>
    <row r="653" spans="1:14" x14ac:dyDescent="0.2">
      <c r="A653" s="1">
        <v>45481</v>
      </c>
      <c r="B653" t="s">
        <v>28</v>
      </c>
      <c r="C653" t="s">
        <v>11</v>
      </c>
      <c r="D653" t="s">
        <v>18</v>
      </c>
      <c r="E653">
        <v>1762</v>
      </c>
      <c r="F653">
        <v>1.2</v>
      </c>
      <c r="G653">
        <v>1</v>
      </c>
      <c r="H653">
        <v>2114.4</v>
      </c>
      <c r="I653">
        <v>1762</v>
      </c>
      <c r="J653">
        <v>352.4</v>
      </c>
      <c r="K653">
        <f>Table1[[#This Row],[Liters_Sold]]</f>
        <v>1762</v>
      </c>
      <c r="L653">
        <f>Table1[[#This Row],[Delivery volume]]*0.05</f>
        <v>88.100000000000009</v>
      </c>
      <c r="M653" s="16">
        <f>Table1[[#This Row],[Delivery Cost]]/Table1[[#This Row],[Revenue]]</f>
        <v>4.1666666666666671E-2</v>
      </c>
      <c r="N653" t="str">
        <f t="shared" si="10"/>
        <v>Jul</v>
      </c>
    </row>
    <row r="654" spans="1:14" x14ac:dyDescent="0.2">
      <c r="A654" s="1">
        <v>45482</v>
      </c>
      <c r="B654" t="s">
        <v>30</v>
      </c>
      <c r="C654" t="s">
        <v>17</v>
      </c>
      <c r="D654" t="s">
        <v>18</v>
      </c>
      <c r="E654">
        <v>5547</v>
      </c>
      <c r="F654">
        <v>1.2</v>
      </c>
      <c r="G654">
        <v>1</v>
      </c>
      <c r="H654">
        <v>6656.4</v>
      </c>
      <c r="I654">
        <v>5547</v>
      </c>
      <c r="J654">
        <v>1109.3999999999901</v>
      </c>
      <c r="K654">
        <f>Table1[[#This Row],[Liters_Sold]]</f>
        <v>5547</v>
      </c>
      <c r="L654">
        <f>Table1[[#This Row],[Delivery volume]]*0.05</f>
        <v>277.35000000000002</v>
      </c>
      <c r="M654" s="16">
        <f>Table1[[#This Row],[Delivery Cost]]/Table1[[#This Row],[Revenue]]</f>
        <v>4.1666666666666671E-2</v>
      </c>
      <c r="N654" t="str">
        <f t="shared" si="10"/>
        <v>Jul</v>
      </c>
    </row>
    <row r="655" spans="1:14" x14ac:dyDescent="0.2">
      <c r="A655" s="1">
        <v>45603</v>
      </c>
      <c r="B655" t="s">
        <v>28</v>
      </c>
      <c r="C655" t="s">
        <v>17</v>
      </c>
      <c r="D655" t="s">
        <v>12</v>
      </c>
      <c r="E655">
        <v>1443</v>
      </c>
      <c r="F655">
        <v>1.25</v>
      </c>
      <c r="G655">
        <v>1.05</v>
      </c>
      <c r="H655">
        <v>1803.75</v>
      </c>
      <c r="I655">
        <v>1515.15</v>
      </c>
      <c r="J655">
        <v>288.599999999999</v>
      </c>
      <c r="K655">
        <f>Table1[[#This Row],[Liters_Sold]]</f>
        <v>1443</v>
      </c>
      <c r="L655">
        <f>Table1[[#This Row],[Delivery volume]]*0.05</f>
        <v>72.150000000000006</v>
      </c>
      <c r="M655" s="16">
        <f>Table1[[#This Row],[Delivery Cost]]/Table1[[#This Row],[Revenue]]</f>
        <v>0.04</v>
      </c>
      <c r="N655" t="str">
        <f t="shared" si="10"/>
        <v>Nov</v>
      </c>
    </row>
    <row r="656" spans="1:14" x14ac:dyDescent="0.2">
      <c r="A656" s="1">
        <v>45408</v>
      </c>
      <c r="B656" t="s">
        <v>10</v>
      </c>
      <c r="C656" t="s">
        <v>20</v>
      </c>
      <c r="D656" t="s">
        <v>18</v>
      </c>
      <c r="E656">
        <v>2702</v>
      </c>
      <c r="F656">
        <v>1.2</v>
      </c>
      <c r="G656">
        <v>1</v>
      </c>
      <c r="H656">
        <v>3242.4</v>
      </c>
      <c r="I656">
        <v>2702</v>
      </c>
      <c r="J656">
        <v>540.4</v>
      </c>
      <c r="K656">
        <f>Table1[[#This Row],[Liters_Sold]]</f>
        <v>2702</v>
      </c>
      <c r="L656">
        <f>Table1[[#This Row],[Delivery volume]]*0.05</f>
        <v>135.1</v>
      </c>
      <c r="M656" s="16">
        <f>Table1[[#This Row],[Delivery Cost]]/Table1[[#This Row],[Revenue]]</f>
        <v>4.1666666666666664E-2</v>
      </c>
      <c r="N656" t="str">
        <f t="shared" si="10"/>
        <v>Apr</v>
      </c>
    </row>
    <row r="657" spans="1:14" x14ac:dyDescent="0.2">
      <c r="A657" s="1">
        <v>45425</v>
      </c>
      <c r="B657" t="s">
        <v>25</v>
      </c>
      <c r="C657" t="s">
        <v>11</v>
      </c>
      <c r="D657" t="s">
        <v>12</v>
      </c>
      <c r="E657">
        <v>5800</v>
      </c>
      <c r="F657">
        <v>1.25</v>
      </c>
      <c r="G657">
        <v>1.05</v>
      </c>
      <c r="H657">
        <v>7250</v>
      </c>
      <c r="I657">
        <v>6090</v>
      </c>
      <c r="J657">
        <v>1160</v>
      </c>
      <c r="K657">
        <f>Table1[[#This Row],[Liters_Sold]]</f>
        <v>5800</v>
      </c>
      <c r="L657">
        <f>Table1[[#This Row],[Delivery volume]]*0.05</f>
        <v>290</v>
      </c>
      <c r="M657" s="16">
        <f>Table1[[#This Row],[Delivery Cost]]/Table1[[#This Row],[Revenue]]</f>
        <v>0.04</v>
      </c>
      <c r="N657" t="str">
        <f t="shared" si="10"/>
        <v>May</v>
      </c>
    </row>
    <row r="658" spans="1:14" x14ac:dyDescent="0.2">
      <c r="A658" s="1">
        <v>45349</v>
      </c>
      <c r="B658" t="s">
        <v>21</v>
      </c>
      <c r="C658" t="s">
        <v>11</v>
      </c>
      <c r="D658" t="s">
        <v>18</v>
      </c>
      <c r="E658">
        <v>3827</v>
      </c>
      <c r="F658">
        <v>1.2</v>
      </c>
      <c r="G658">
        <v>1</v>
      </c>
      <c r="H658">
        <v>4592.3999999999996</v>
      </c>
      <c r="I658">
        <v>3827</v>
      </c>
      <c r="J658">
        <v>765.39999999999895</v>
      </c>
      <c r="K658">
        <f>Table1[[#This Row],[Liters_Sold]]</f>
        <v>3827</v>
      </c>
      <c r="L658">
        <f>Table1[[#This Row],[Delivery volume]]*0.05</f>
        <v>191.35000000000002</v>
      </c>
      <c r="M658" s="16">
        <f>Table1[[#This Row],[Delivery Cost]]/Table1[[#This Row],[Revenue]]</f>
        <v>4.1666666666666678E-2</v>
      </c>
      <c r="N658" t="str">
        <f t="shared" si="10"/>
        <v>Feb</v>
      </c>
    </row>
    <row r="659" spans="1:14" x14ac:dyDescent="0.2">
      <c r="A659" s="1">
        <v>45335</v>
      </c>
      <c r="B659" t="s">
        <v>13</v>
      </c>
      <c r="C659" t="s">
        <v>11</v>
      </c>
      <c r="D659" t="s">
        <v>12</v>
      </c>
      <c r="E659">
        <v>5692</v>
      </c>
      <c r="F659">
        <v>1.25</v>
      </c>
      <c r="G659">
        <v>1.05</v>
      </c>
      <c r="H659">
        <v>7115</v>
      </c>
      <c r="I659">
        <v>5976.6</v>
      </c>
      <c r="J659">
        <v>1138.3999999999901</v>
      </c>
      <c r="K659">
        <f>Table1[[#This Row],[Liters_Sold]]</f>
        <v>5692</v>
      </c>
      <c r="L659">
        <f>Table1[[#This Row],[Delivery volume]]*0.05</f>
        <v>284.60000000000002</v>
      </c>
      <c r="M659" s="16">
        <f>Table1[[#This Row],[Delivery Cost]]/Table1[[#This Row],[Revenue]]</f>
        <v>0.04</v>
      </c>
      <c r="N659" t="str">
        <f t="shared" si="10"/>
        <v>Feb</v>
      </c>
    </row>
    <row r="660" spans="1:14" x14ac:dyDescent="0.2">
      <c r="A660" s="1">
        <v>45464</v>
      </c>
      <c r="B660" t="s">
        <v>15</v>
      </c>
      <c r="C660" t="s">
        <v>29</v>
      </c>
      <c r="D660" t="s">
        <v>14</v>
      </c>
      <c r="E660">
        <v>4774</v>
      </c>
      <c r="F660">
        <v>0.9</v>
      </c>
      <c r="G660">
        <v>0.7</v>
      </c>
      <c r="H660">
        <v>4296.6000000000004</v>
      </c>
      <c r="I660">
        <v>3341.7999999999902</v>
      </c>
      <c r="J660">
        <v>954.8</v>
      </c>
      <c r="K660">
        <f>Table1[[#This Row],[Liters_Sold]]</f>
        <v>4774</v>
      </c>
      <c r="L660">
        <f>Table1[[#This Row],[Delivery volume]]*0.05</f>
        <v>238.70000000000002</v>
      </c>
      <c r="M660" s="16">
        <f>Table1[[#This Row],[Delivery Cost]]/Table1[[#This Row],[Revenue]]</f>
        <v>5.5555555555555552E-2</v>
      </c>
      <c r="N660" t="str">
        <f t="shared" si="10"/>
        <v>Jun</v>
      </c>
    </row>
    <row r="661" spans="1:14" x14ac:dyDescent="0.2">
      <c r="A661" s="1">
        <v>45451</v>
      </c>
      <c r="B661" t="s">
        <v>22</v>
      </c>
      <c r="C661" t="s">
        <v>17</v>
      </c>
      <c r="D661" t="s">
        <v>12</v>
      </c>
      <c r="E661">
        <v>2759</v>
      </c>
      <c r="F661">
        <v>1.25</v>
      </c>
      <c r="G661">
        <v>1.05</v>
      </c>
      <c r="H661">
        <v>3448.75</v>
      </c>
      <c r="I661">
        <v>2896.95</v>
      </c>
      <c r="J661">
        <v>551.79999999999905</v>
      </c>
      <c r="K661">
        <f>Table1[[#This Row],[Liters_Sold]]</f>
        <v>2759</v>
      </c>
      <c r="L661">
        <f>Table1[[#This Row],[Delivery volume]]*0.05</f>
        <v>137.95000000000002</v>
      </c>
      <c r="M661" s="16">
        <f>Table1[[#This Row],[Delivery Cost]]/Table1[[#This Row],[Revenue]]</f>
        <v>4.0000000000000008E-2</v>
      </c>
      <c r="N661" t="str">
        <f t="shared" si="10"/>
        <v>Jun</v>
      </c>
    </row>
    <row r="662" spans="1:14" x14ac:dyDescent="0.2">
      <c r="A662" s="1">
        <v>45464</v>
      </c>
      <c r="B662" t="s">
        <v>31</v>
      </c>
      <c r="C662" t="s">
        <v>11</v>
      </c>
      <c r="D662" t="s">
        <v>12</v>
      </c>
      <c r="E662">
        <v>2328</v>
      </c>
      <c r="F662">
        <v>1.25</v>
      </c>
      <c r="G662">
        <v>1.05</v>
      </c>
      <c r="H662">
        <v>2910</v>
      </c>
      <c r="I662">
        <v>2444.4</v>
      </c>
      <c r="J662">
        <v>465.599999999999</v>
      </c>
      <c r="K662">
        <f>Table1[[#This Row],[Liters_Sold]]</f>
        <v>2328</v>
      </c>
      <c r="L662">
        <f>Table1[[#This Row],[Delivery volume]]*0.05</f>
        <v>116.4</v>
      </c>
      <c r="M662" s="16">
        <f>Table1[[#This Row],[Delivery Cost]]/Table1[[#This Row],[Revenue]]</f>
        <v>0.04</v>
      </c>
      <c r="N662" t="str">
        <f t="shared" si="10"/>
        <v>Jun</v>
      </c>
    </row>
    <row r="663" spans="1:14" x14ac:dyDescent="0.2">
      <c r="A663" s="1">
        <v>45608</v>
      </c>
      <c r="B663" t="s">
        <v>15</v>
      </c>
      <c r="C663" t="s">
        <v>11</v>
      </c>
      <c r="D663" t="s">
        <v>12</v>
      </c>
      <c r="E663">
        <v>1757</v>
      </c>
      <c r="F663">
        <v>1.25</v>
      </c>
      <c r="G663">
        <v>1.05</v>
      </c>
      <c r="H663">
        <v>2196.25</v>
      </c>
      <c r="I663">
        <v>1844.85</v>
      </c>
      <c r="J663">
        <v>351.39999999999901</v>
      </c>
      <c r="K663">
        <f>Table1[[#This Row],[Liters_Sold]]</f>
        <v>1757</v>
      </c>
      <c r="L663">
        <f>Table1[[#This Row],[Delivery volume]]*0.05</f>
        <v>87.850000000000009</v>
      </c>
      <c r="M663" s="16">
        <f>Table1[[#This Row],[Delivery Cost]]/Table1[[#This Row],[Revenue]]</f>
        <v>0.04</v>
      </c>
      <c r="N663" t="str">
        <f t="shared" si="10"/>
        <v>Nov</v>
      </c>
    </row>
    <row r="664" spans="1:14" x14ac:dyDescent="0.2">
      <c r="A664" s="1">
        <v>45594</v>
      </c>
      <c r="B664" t="s">
        <v>24</v>
      </c>
      <c r="C664" t="s">
        <v>29</v>
      </c>
      <c r="D664" t="s">
        <v>12</v>
      </c>
      <c r="E664">
        <v>964</v>
      </c>
      <c r="F664">
        <v>1.25</v>
      </c>
      <c r="G664">
        <v>1.05</v>
      </c>
      <c r="H664">
        <v>1205</v>
      </c>
      <c r="I664">
        <v>1012.2</v>
      </c>
      <c r="J664">
        <v>192.79999999999899</v>
      </c>
      <c r="K664">
        <f>Table1[[#This Row],[Liters_Sold]]</f>
        <v>964</v>
      </c>
      <c r="L664">
        <f>Table1[[#This Row],[Delivery volume]]*0.05</f>
        <v>48.2</v>
      </c>
      <c r="M664" s="16">
        <f>Table1[[#This Row],[Delivery Cost]]/Table1[[#This Row],[Revenue]]</f>
        <v>0.04</v>
      </c>
      <c r="N664" t="str">
        <f t="shared" si="10"/>
        <v>Oct</v>
      </c>
    </row>
    <row r="665" spans="1:14" x14ac:dyDescent="0.2">
      <c r="A665" s="1">
        <v>45440</v>
      </c>
      <c r="B665" t="s">
        <v>21</v>
      </c>
      <c r="C665" t="s">
        <v>29</v>
      </c>
      <c r="D665" t="s">
        <v>18</v>
      </c>
      <c r="E665">
        <v>3794</v>
      </c>
      <c r="F665">
        <v>1.2</v>
      </c>
      <c r="G665">
        <v>1</v>
      </c>
      <c r="H665">
        <v>4552.8</v>
      </c>
      <c r="I665">
        <v>3794</v>
      </c>
      <c r="J665">
        <v>758.8</v>
      </c>
      <c r="K665">
        <f>Table1[[#This Row],[Liters_Sold]]</f>
        <v>3794</v>
      </c>
      <c r="L665">
        <f>Table1[[#This Row],[Delivery volume]]*0.05</f>
        <v>189.70000000000002</v>
      </c>
      <c r="M665" s="16">
        <f>Table1[[#This Row],[Delivery Cost]]/Table1[[#This Row],[Revenue]]</f>
        <v>4.1666666666666671E-2</v>
      </c>
      <c r="N665" t="str">
        <f t="shared" si="10"/>
        <v>May</v>
      </c>
    </row>
    <row r="666" spans="1:14" x14ac:dyDescent="0.2">
      <c r="A666" s="1">
        <v>45371</v>
      </c>
      <c r="B666" t="s">
        <v>15</v>
      </c>
      <c r="C666" t="s">
        <v>11</v>
      </c>
      <c r="D666" t="s">
        <v>12</v>
      </c>
      <c r="E666">
        <v>1730</v>
      </c>
      <c r="F666">
        <v>1.25</v>
      </c>
      <c r="G666">
        <v>1.05</v>
      </c>
      <c r="H666">
        <v>2162.5</v>
      </c>
      <c r="I666">
        <v>1816.5</v>
      </c>
      <c r="J666">
        <v>346</v>
      </c>
      <c r="K666">
        <f>Table1[[#This Row],[Liters_Sold]]</f>
        <v>1730</v>
      </c>
      <c r="L666">
        <f>Table1[[#This Row],[Delivery volume]]*0.05</f>
        <v>86.5</v>
      </c>
      <c r="M666" s="16">
        <f>Table1[[#This Row],[Delivery Cost]]/Table1[[#This Row],[Revenue]]</f>
        <v>0.04</v>
      </c>
      <c r="N666" t="str">
        <f t="shared" si="10"/>
        <v>Mar</v>
      </c>
    </row>
    <row r="667" spans="1:14" x14ac:dyDescent="0.2">
      <c r="A667" s="1">
        <v>45504</v>
      </c>
      <c r="B667" t="s">
        <v>26</v>
      </c>
      <c r="C667" t="s">
        <v>23</v>
      </c>
      <c r="D667" t="s">
        <v>18</v>
      </c>
      <c r="E667">
        <v>3154</v>
      </c>
      <c r="F667">
        <v>1.2</v>
      </c>
      <c r="G667">
        <v>1</v>
      </c>
      <c r="H667">
        <v>3784.7999999999902</v>
      </c>
      <c r="I667">
        <v>3154</v>
      </c>
      <c r="J667">
        <v>630.79999999999905</v>
      </c>
      <c r="K667">
        <f>Table1[[#This Row],[Liters_Sold]]</f>
        <v>3154</v>
      </c>
      <c r="L667">
        <f>Table1[[#This Row],[Delivery volume]]*0.05</f>
        <v>157.70000000000002</v>
      </c>
      <c r="M667" s="16">
        <f>Table1[[#This Row],[Delivery Cost]]/Table1[[#This Row],[Revenue]]</f>
        <v>4.1666666666666782E-2</v>
      </c>
      <c r="N667" t="str">
        <f t="shared" si="10"/>
        <v>Jul</v>
      </c>
    </row>
    <row r="668" spans="1:14" x14ac:dyDescent="0.2">
      <c r="A668" s="1">
        <v>45494</v>
      </c>
      <c r="B668" t="s">
        <v>30</v>
      </c>
      <c r="C668" t="s">
        <v>11</v>
      </c>
      <c r="D668" t="s">
        <v>12</v>
      </c>
      <c r="E668">
        <v>1384</v>
      </c>
      <c r="F668">
        <v>1.25</v>
      </c>
      <c r="G668">
        <v>1.05</v>
      </c>
      <c r="H668">
        <v>1730</v>
      </c>
      <c r="I668">
        <v>1453.2</v>
      </c>
      <c r="J668">
        <v>276.79999999999899</v>
      </c>
      <c r="K668">
        <f>Table1[[#This Row],[Liters_Sold]]</f>
        <v>1384</v>
      </c>
      <c r="L668">
        <f>Table1[[#This Row],[Delivery volume]]*0.05</f>
        <v>69.2</v>
      </c>
      <c r="M668" s="16">
        <f>Table1[[#This Row],[Delivery Cost]]/Table1[[#This Row],[Revenue]]</f>
        <v>0.04</v>
      </c>
      <c r="N668" t="str">
        <f t="shared" si="10"/>
        <v>Jul</v>
      </c>
    </row>
    <row r="669" spans="1:14" x14ac:dyDescent="0.2">
      <c r="A669" s="1">
        <v>45543</v>
      </c>
      <c r="B669" t="s">
        <v>32</v>
      </c>
      <c r="C669" t="s">
        <v>11</v>
      </c>
      <c r="D669" t="s">
        <v>12</v>
      </c>
      <c r="E669">
        <v>4305</v>
      </c>
      <c r="F669">
        <v>1.25</v>
      </c>
      <c r="G669">
        <v>1.05</v>
      </c>
      <c r="H669">
        <v>5381.25</v>
      </c>
      <c r="I669">
        <v>4520.25</v>
      </c>
      <c r="J669">
        <v>861</v>
      </c>
      <c r="K669">
        <f>Table1[[#This Row],[Liters_Sold]]</f>
        <v>4305</v>
      </c>
      <c r="L669">
        <f>Table1[[#This Row],[Delivery volume]]*0.05</f>
        <v>215.25</v>
      </c>
      <c r="M669" s="16">
        <f>Table1[[#This Row],[Delivery Cost]]/Table1[[#This Row],[Revenue]]</f>
        <v>0.04</v>
      </c>
      <c r="N669" t="str">
        <f t="shared" si="10"/>
        <v>Sep</v>
      </c>
    </row>
    <row r="670" spans="1:14" x14ac:dyDescent="0.2">
      <c r="A670" s="1">
        <v>45520</v>
      </c>
      <c r="B670" t="s">
        <v>24</v>
      </c>
      <c r="C670" t="s">
        <v>29</v>
      </c>
      <c r="D670" t="s">
        <v>12</v>
      </c>
      <c r="E670">
        <v>5928</v>
      </c>
      <c r="F670">
        <v>1.25</v>
      </c>
      <c r="G670">
        <v>1.05</v>
      </c>
      <c r="H670">
        <v>7410</v>
      </c>
      <c r="I670">
        <v>6224.4</v>
      </c>
      <c r="J670">
        <v>1185.5999999999899</v>
      </c>
      <c r="K670">
        <f>Table1[[#This Row],[Liters_Sold]]</f>
        <v>5928</v>
      </c>
      <c r="L670">
        <f>Table1[[#This Row],[Delivery volume]]*0.05</f>
        <v>296.40000000000003</v>
      </c>
      <c r="M670" s="16">
        <f>Table1[[#This Row],[Delivery Cost]]/Table1[[#This Row],[Revenue]]</f>
        <v>4.0000000000000008E-2</v>
      </c>
      <c r="N670" t="str">
        <f t="shared" si="10"/>
        <v>Aug</v>
      </c>
    </row>
    <row r="671" spans="1:14" x14ac:dyDescent="0.2">
      <c r="A671" s="1">
        <v>45455</v>
      </c>
      <c r="B671" t="s">
        <v>28</v>
      </c>
      <c r="C671" t="s">
        <v>29</v>
      </c>
      <c r="D671" t="s">
        <v>12</v>
      </c>
      <c r="E671">
        <v>5540</v>
      </c>
      <c r="F671">
        <v>1.25</v>
      </c>
      <c r="G671">
        <v>1.05</v>
      </c>
      <c r="H671">
        <v>6925</v>
      </c>
      <c r="I671">
        <v>5817</v>
      </c>
      <c r="J671">
        <v>1108</v>
      </c>
      <c r="K671">
        <f>Table1[[#This Row],[Liters_Sold]]</f>
        <v>5540</v>
      </c>
      <c r="L671">
        <f>Table1[[#This Row],[Delivery volume]]*0.05</f>
        <v>277</v>
      </c>
      <c r="M671" s="16">
        <f>Table1[[#This Row],[Delivery Cost]]/Table1[[#This Row],[Revenue]]</f>
        <v>0.04</v>
      </c>
      <c r="N671" t="str">
        <f t="shared" si="10"/>
        <v>Jun</v>
      </c>
    </row>
    <row r="672" spans="1:14" x14ac:dyDescent="0.2">
      <c r="A672" s="1">
        <v>45518</v>
      </c>
      <c r="B672" t="s">
        <v>19</v>
      </c>
      <c r="C672" t="s">
        <v>11</v>
      </c>
      <c r="D672" t="s">
        <v>12</v>
      </c>
      <c r="E672">
        <v>4356</v>
      </c>
      <c r="F672">
        <v>1.25</v>
      </c>
      <c r="G672">
        <v>1.05</v>
      </c>
      <c r="H672">
        <v>5445</v>
      </c>
      <c r="I672">
        <v>4573.8</v>
      </c>
      <c r="J672">
        <v>871.19999999999902</v>
      </c>
      <c r="K672">
        <f>Table1[[#This Row],[Liters_Sold]]</f>
        <v>4356</v>
      </c>
      <c r="L672">
        <f>Table1[[#This Row],[Delivery volume]]*0.05</f>
        <v>217.8</v>
      </c>
      <c r="M672" s="16">
        <f>Table1[[#This Row],[Delivery Cost]]/Table1[[#This Row],[Revenue]]</f>
        <v>0.04</v>
      </c>
      <c r="N672" t="str">
        <f t="shared" si="10"/>
        <v>Aug</v>
      </c>
    </row>
    <row r="673" spans="1:14" x14ac:dyDescent="0.2">
      <c r="A673" s="1">
        <v>45438</v>
      </c>
      <c r="B673" t="s">
        <v>26</v>
      </c>
      <c r="C673" t="s">
        <v>11</v>
      </c>
      <c r="D673" t="s">
        <v>12</v>
      </c>
      <c r="E673">
        <v>3635</v>
      </c>
      <c r="F673">
        <v>1.25</v>
      </c>
      <c r="G673">
        <v>1.05</v>
      </c>
      <c r="H673">
        <v>4543.75</v>
      </c>
      <c r="I673">
        <v>3816.75</v>
      </c>
      <c r="J673">
        <v>727</v>
      </c>
      <c r="K673">
        <f>Table1[[#This Row],[Liters_Sold]]</f>
        <v>3635</v>
      </c>
      <c r="L673">
        <f>Table1[[#This Row],[Delivery volume]]*0.05</f>
        <v>181.75</v>
      </c>
      <c r="M673" s="16">
        <f>Table1[[#This Row],[Delivery Cost]]/Table1[[#This Row],[Revenue]]</f>
        <v>0.04</v>
      </c>
      <c r="N673" t="str">
        <f t="shared" si="10"/>
        <v>May</v>
      </c>
    </row>
    <row r="674" spans="1:14" x14ac:dyDescent="0.2">
      <c r="A674" s="1">
        <v>45311</v>
      </c>
      <c r="B674" t="s">
        <v>24</v>
      </c>
      <c r="C674" t="s">
        <v>11</v>
      </c>
      <c r="D674" t="s">
        <v>12</v>
      </c>
      <c r="E674">
        <v>1424</v>
      </c>
      <c r="F674">
        <v>1.25</v>
      </c>
      <c r="G674">
        <v>1.05</v>
      </c>
      <c r="H674">
        <v>1780</v>
      </c>
      <c r="I674">
        <v>1495.2</v>
      </c>
      <c r="J674">
        <v>284.79999999999899</v>
      </c>
      <c r="K674">
        <f>Table1[[#This Row],[Liters_Sold]]</f>
        <v>1424</v>
      </c>
      <c r="L674">
        <f>Table1[[#This Row],[Delivery volume]]*0.05</f>
        <v>71.2</v>
      </c>
      <c r="M674" s="16">
        <f>Table1[[#This Row],[Delivery Cost]]/Table1[[#This Row],[Revenue]]</f>
        <v>0.04</v>
      </c>
      <c r="N674" t="str">
        <f t="shared" si="10"/>
        <v>Jan</v>
      </c>
    </row>
    <row r="675" spans="1:14" x14ac:dyDescent="0.2">
      <c r="A675" s="1">
        <v>45338</v>
      </c>
      <c r="B675" t="s">
        <v>32</v>
      </c>
      <c r="C675" t="s">
        <v>29</v>
      </c>
      <c r="D675" t="s">
        <v>12</v>
      </c>
      <c r="E675">
        <v>5089</v>
      </c>
      <c r="F675">
        <v>1.25</v>
      </c>
      <c r="G675">
        <v>1.05</v>
      </c>
      <c r="H675">
        <v>6361.25</v>
      </c>
      <c r="I675">
        <v>5343.45</v>
      </c>
      <c r="J675">
        <v>1017.8</v>
      </c>
      <c r="K675">
        <f>Table1[[#This Row],[Liters_Sold]]</f>
        <v>5089</v>
      </c>
      <c r="L675">
        <f>Table1[[#This Row],[Delivery volume]]*0.05</f>
        <v>254.45000000000002</v>
      </c>
      <c r="M675" s="16">
        <f>Table1[[#This Row],[Delivery Cost]]/Table1[[#This Row],[Revenue]]</f>
        <v>0.04</v>
      </c>
      <c r="N675" t="str">
        <f t="shared" si="10"/>
        <v>Feb</v>
      </c>
    </row>
    <row r="676" spans="1:14" x14ac:dyDescent="0.2">
      <c r="A676" s="1">
        <v>45524</v>
      </c>
      <c r="B676" t="s">
        <v>16</v>
      </c>
      <c r="C676" t="s">
        <v>11</v>
      </c>
      <c r="D676" t="s">
        <v>18</v>
      </c>
      <c r="E676">
        <v>2046</v>
      </c>
      <c r="F676">
        <v>1.2</v>
      </c>
      <c r="G676">
        <v>1</v>
      </c>
      <c r="H676">
        <v>2455.1999999999998</v>
      </c>
      <c r="I676">
        <v>2046</v>
      </c>
      <c r="J676">
        <v>409.19999999999902</v>
      </c>
      <c r="K676">
        <f>Table1[[#This Row],[Liters_Sold]]</f>
        <v>2046</v>
      </c>
      <c r="L676">
        <f>Table1[[#This Row],[Delivery volume]]*0.05</f>
        <v>102.30000000000001</v>
      </c>
      <c r="M676" s="16">
        <f>Table1[[#This Row],[Delivery Cost]]/Table1[[#This Row],[Revenue]]</f>
        <v>4.1666666666666671E-2</v>
      </c>
      <c r="N676" t="str">
        <f t="shared" si="10"/>
        <v>Aug</v>
      </c>
    </row>
    <row r="677" spans="1:14" x14ac:dyDescent="0.2">
      <c r="A677" s="1">
        <v>45596</v>
      </c>
      <c r="B677" t="s">
        <v>28</v>
      </c>
      <c r="C677" t="s">
        <v>11</v>
      </c>
      <c r="D677" t="s">
        <v>18</v>
      </c>
      <c r="E677">
        <v>1594</v>
      </c>
      <c r="F677">
        <v>1.2</v>
      </c>
      <c r="G677">
        <v>1</v>
      </c>
      <c r="H677">
        <v>1912.8</v>
      </c>
      <c r="I677">
        <v>1594</v>
      </c>
      <c r="J677">
        <v>318.79999999999899</v>
      </c>
      <c r="K677">
        <f>Table1[[#This Row],[Liters_Sold]]</f>
        <v>1594</v>
      </c>
      <c r="L677">
        <f>Table1[[#This Row],[Delivery volume]]*0.05</f>
        <v>79.7</v>
      </c>
      <c r="M677" s="16">
        <f>Table1[[#This Row],[Delivery Cost]]/Table1[[#This Row],[Revenue]]</f>
        <v>4.1666666666666671E-2</v>
      </c>
      <c r="N677" t="str">
        <f t="shared" si="10"/>
        <v>Oct</v>
      </c>
    </row>
    <row r="678" spans="1:14" x14ac:dyDescent="0.2">
      <c r="A678" s="1">
        <v>45305</v>
      </c>
      <c r="B678" t="s">
        <v>15</v>
      </c>
      <c r="C678" t="s">
        <v>20</v>
      </c>
      <c r="D678" t="s">
        <v>12</v>
      </c>
      <c r="E678">
        <v>2911</v>
      </c>
      <c r="F678">
        <v>1.25</v>
      </c>
      <c r="G678">
        <v>1.05</v>
      </c>
      <c r="H678">
        <v>3638.75</v>
      </c>
      <c r="I678">
        <v>3056.55</v>
      </c>
      <c r="J678">
        <v>582.19999999999902</v>
      </c>
      <c r="K678">
        <f>Table1[[#This Row],[Liters_Sold]]</f>
        <v>2911</v>
      </c>
      <c r="L678">
        <f>Table1[[#This Row],[Delivery volume]]*0.05</f>
        <v>145.55000000000001</v>
      </c>
      <c r="M678" s="16">
        <f>Table1[[#This Row],[Delivery Cost]]/Table1[[#This Row],[Revenue]]</f>
        <v>0.04</v>
      </c>
      <c r="N678" t="str">
        <f t="shared" si="10"/>
        <v>Jan</v>
      </c>
    </row>
    <row r="679" spans="1:14" x14ac:dyDescent="0.2">
      <c r="A679" s="1">
        <v>45434</v>
      </c>
      <c r="B679" t="s">
        <v>15</v>
      </c>
      <c r="C679" t="s">
        <v>23</v>
      </c>
      <c r="D679" t="s">
        <v>12</v>
      </c>
      <c r="E679">
        <v>3117</v>
      </c>
      <c r="F679">
        <v>1.25</v>
      </c>
      <c r="G679">
        <v>1.05</v>
      </c>
      <c r="H679">
        <v>3896.25</v>
      </c>
      <c r="I679">
        <v>3272.85</v>
      </c>
      <c r="J679">
        <v>623.39999999999895</v>
      </c>
      <c r="K679">
        <f>Table1[[#This Row],[Liters_Sold]]</f>
        <v>3117</v>
      </c>
      <c r="L679">
        <f>Table1[[#This Row],[Delivery volume]]*0.05</f>
        <v>155.85000000000002</v>
      </c>
      <c r="M679" s="16">
        <f>Table1[[#This Row],[Delivery Cost]]/Table1[[#This Row],[Revenue]]</f>
        <v>4.0000000000000008E-2</v>
      </c>
      <c r="N679" t="str">
        <f t="shared" si="10"/>
        <v>May</v>
      </c>
    </row>
    <row r="680" spans="1:14" x14ac:dyDescent="0.2">
      <c r="A680" s="1">
        <v>45292</v>
      </c>
      <c r="B680" t="s">
        <v>24</v>
      </c>
      <c r="C680" t="s">
        <v>17</v>
      </c>
      <c r="D680" t="s">
        <v>14</v>
      </c>
      <c r="E680">
        <v>1262</v>
      </c>
      <c r="F680">
        <v>0.9</v>
      </c>
      <c r="G680">
        <v>0.7</v>
      </c>
      <c r="H680">
        <v>1135.8</v>
      </c>
      <c r="I680">
        <v>883.4</v>
      </c>
      <c r="J680">
        <v>252.39999999999901</v>
      </c>
      <c r="K680">
        <f>Table1[[#This Row],[Liters_Sold]]</f>
        <v>1262</v>
      </c>
      <c r="L680">
        <f>Table1[[#This Row],[Delivery volume]]*0.05</f>
        <v>63.1</v>
      </c>
      <c r="M680" s="16">
        <f>Table1[[#This Row],[Delivery Cost]]/Table1[[#This Row],[Revenue]]</f>
        <v>5.5555555555555559E-2</v>
      </c>
      <c r="N680" t="str">
        <f t="shared" si="10"/>
        <v>Jan</v>
      </c>
    </row>
    <row r="681" spans="1:14" x14ac:dyDescent="0.2">
      <c r="A681" s="1">
        <v>45345</v>
      </c>
      <c r="B681" t="s">
        <v>19</v>
      </c>
      <c r="C681" t="s">
        <v>23</v>
      </c>
      <c r="D681" t="s">
        <v>18</v>
      </c>
      <c r="E681">
        <v>2823</v>
      </c>
      <c r="F681">
        <v>1.2</v>
      </c>
      <c r="G681">
        <v>1</v>
      </c>
      <c r="H681">
        <v>3387.6</v>
      </c>
      <c r="I681">
        <v>2823</v>
      </c>
      <c r="J681">
        <v>564.599999999999</v>
      </c>
      <c r="K681">
        <f>Table1[[#This Row],[Liters_Sold]]</f>
        <v>2823</v>
      </c>
      <c r="L681">
        <f>Table1[[#This Row],[Delivery volume]]*0.05</f>
        <v>141.15</v>
      </c>
      <c r="M681" s="16">
        <f>Table1[[#This Row],[Delivery Cost]]/Table1[[#This Row],[Revenue]]</f>
        <v>4.1666666666666671E-2</v>
      </c>
      <c r="N681" t="str">
        <f t="shared" si="10"/>
        <v>Feb</v>
      </c>
    </row>
    <row r="682" spans="1:14" x14ac:dyDescent="0.2">
      <c r="A682" s="1">
        <v>45550</v>
      </c>
      <c r="B682" t="s">
        <v>16</v>
      </c>
      <c r="C682" t="s">
        <v>20</v>
      </c>
      <c r="D682" t="s">
        <v>18</v>
      </c>
      <c r="E682">
        <v>4645</v>
      </c>
      <c r="F682">
        <v>1.2</v>
      </c>
      <c r="G682">
        <v>1</v>
      </c>
      <c r="H682">
        <v>5574</v>
      </c>
      <c r="I682">
        <v>4645</v>
      </c>
      <c r="J682">
        <v>929</v>
      </c>
      <c r="K682">
        <f>Table1[[#This Row],[Liters_Sold]]</f>
        <v>4645</v>
      </c>
      <c r="L682">
        <f>Table1[[#This Row],[Delivery volume]]*0.05</f>
        <v>232.25</v>
      </c>
      <c r="M682" s="16">
        <f>Table1[[#This Row],[Delivery Cost]]/Table1[[#This Row],[Revenue]]</f>
        <v>4.1666666666666664E-2</v>
      </c>
      <c r="N682" t="str">
        <f t="shared" si="10"/>
        <v>Sep</v>
      </c>
    </row>
    <row r="683" spans="1:14" x14ac:dyDescent="0.2">
      <c r="A683" s="1">
        <v>45435</v>
      </c>
      <c r="B683" t="s">
        <v>28</v>
      </c>
      <c r="C683" t="s">
        <v>17</v>
      </c>
      <c r="D683" t="s">
        <v>12</v>
      </c>
      <c r="E683">
        <v>3275</v>
      </c>
      <c r="F683">
        <v>1.25</v>
      </c>
      <c r="G683">
        <v>1.05</v>
      </c>
      <c r="H683">
        <v>4093.75</v>
      </c>
      <c r="I683">
        <v>3438.75</v>
      </c>
      <c r="J683">
        <v>655</v>
      </c>
      <c r="K683">
        <f>Table1[[#This Row],[Liters_Sold]]</f>
        <v>3275</v>
      </c>
      <c r="L683">
        <f>Table1[[#This Row],[Delivery volume]]*0.05</f>
        <v>163.75</v>
      </c>
      <c r="M683" s="16">
        <f>Table1[[#This Row],[Delivery Cost]]/Table1[[#This Row],[Revenue]]</f>
        <v>0.04</v>
      </c>
      <c r="N683" t="str">
        <f t="shared" si="10"/>
        <v>May</v>
      </c>
    </row>
    <row r="684" spans="1:14" x14ac:dyDescent="0.2">
      <c r="A684" s="1">
        <v>45303</v>
      </c>
      <c r="B684" t="s">
        <v>32</v>
      </c>
      <c r="C684" t="s">
        <v>11</v>
      </c>
      <c r="D684" t="s">
        <v>18</v>
      </c>
      <c r="E684">
        <v>5501</v>
      </c>
      <c r="F684">
        <v>1.2</v>
      </c>
      <c r="G684">
        <v>1</v>
      </c>
      <c r="H684">
        <v>6601.2</v>
      </c>
      <c r="I684">
        <v>5501</v>
      </c>
      <c r="J684">
        <v>1100.19999999999</v>
      </c>
      <c r="K684">
        <f>Table1[[#This Row],[Liters_Sold]]</f>
        <v>5501</v>
      </c>
      <c r="L684">
        <f>Table1[[#This Row],[Delivery volume]]*0.05</f>
        <v>275.05</v>
      </c>
      <c r="M684" s="16">
        <f>Table1[[#This Row],[Delivery Cost]]/Table1[[#This Row],[Revenue]]</f>
        <v>4.1666666666666671E-2</v>
      </c>
      <c r="N684" t="str">
        <f t="shared" si="10"/>
        <v>Jan</v>
      </c>
    </row>
    <row r="685" spans="1:14" x14ac:dyDescent="0.2">
      <c r="A685" s="1">
        <v>45621</v>
      </c>
      <c r="B685" t="s">
        <v>13</v>
      </c>
      <c r="C685" t="s">
        <v>20</v>
      </c>
      <c r="D685" t="s">
        <v>18</v>
      </c>
      <c r="E685">
        <v>5159</v>
      </c>
      <c r="F685">
        <v>1.2</v>
      </c>
      <c r="G685">
        <v>1</v>
      </c>
      <c r="H685">
        <v>6190.8</v>
      </c>
      <c r="I685">
        <v>5159</v>
      </c>
      <c r="J685">
        <v>1031.8</v>
      </c>
      <c r="K685">
        <f>Table1[[#This Row],[Liters_Sold]]</f>
        <v>5159</v>
      </c>
      <c r="L685">
        <f>Table1[[#This Row],[Delivery volume]]*0.05</f>
        <v>257.95</v>
      </c>
      <c r="M685" s="16">
        <f>Table1[[#This Row],[Delivery Cost]]/Table1[[#This Row],[Revenue]]</f>
        <v>4.1666666666666664E-2</v>
      </c>
      <c r="N685" t="str">
        <f t="shared" si="10"/>
        <v>Nov</v>
      </c>
    </row>
    <row r="686" spans="1:14" x14ac:dyDescent="0.2">
      <c r="A686" s="1">
        <v>45515</v>
      </c>
      <c r="B686" t="s">
        <v>15</v>
      </c>
      <c r="C686" t="s">
        <v>11</v>
      </c>
      <c r="D686" t="s">
        <v>18</v>
      </c>
      <c r="E686">
        <v>5378</v>
      </c>
      <c r="F686">
        <v>1.2</v>
      </c>
      <c r="G686">
        <v>1</v>
      </c>
      <c r="H686">
        <v>6453.5999999999904</v>
      </c>
      <c r="I686">
        <v>5378</v>
      </c>
      <c r="J686">
        <v>1075.5999999999899</v>
      </c>
      <c r="K686">
        <f>Table1[[#This Row],[Liters_Sold]]</f>
        <v>5378</v>
      </c>
      <c r="L686">
        <f>Table1[[#This Row],[Delivery volume]]*0.05</f>
        <v>268.90000000000003</v>
      </c>
      <c r="M686" s="16">
        <f>Table1[[#This Row],[Delivery Cost]]/Table1[[#This Row],[Revenue]]</f>
        <v>4.1666666666666734E-2</v>
      </c>
      <c r="N686" t="str">
        <f t="shared" si="10"/>
        <v>Aug</v>
      </c>
    </row>
    <row r="687" spans="1:14" x14ac:dyDescent="0.2">
      <c r="A687" s="1">
        <v>45563</v>
      </c>
      <c r="B687" t="s">
        <v>32</v>
      </c>
      <c r="C687" t="s">
        <v>29</v>
      </c>
      <c r="D687" t="s">
        <v>14</v>
      </c>
      <c r="E687">
        <v>3655</v>
      </c>
      <c r="F687">
        <v>0.9</v>
      </c>
      <c r="G687">
        <v>0.7</v>
      </c>
      <c r="H687">
        <v>3289.5</v>
      </c>
      <c r="I687">
        <v>2558.5</v>
      </c>
      <c r="J687">
        <v>731</v>
      </c>
      <c r="K687">
        <f>Table1[[#This Row],[Liters_Sold]]</f>
        <v>3655</v>
      </c>
      <c r="L687">
        <f>Table1[[#This Row],[Delivery volume]]*0.05</f>
        <v>182.75</v>
      </c>
      <c r="M687" s="16">
        <f>Table1[[#This Row],[Delivery Cost]]/Table1[[#This Row],[Revenue]]</f>
        <v>5.5555555555555552E-2</v>
      </c>
      <c r="N687" t="str">
        <f t="shared" si="10"/>
        <v>Sep</v>
      </c>
    </row>
    <row r="688" spans="1:14" x14ac:dyDescent="0.2">
      <c r="A688" s="1">
        <v>45649</v>
      </c>
      <c r="B688" t="s">
        <v>21</v>
      </c>
      <c r="C688" t="s">
        <v>20</v>
      </c>
      <c r="D688" t="s">
        <v>12</v>
      </c>
      <c r="E688">
        <v>4470</v>
      </c>
      <c r="F688">
        <v>1.25</v>
      </c>
      <c r="G688">
        <v>1.05</v>
      </c>
      <c r="H688">
        <v>5587.5</v>
      </c>
      <c r="I688">
        <v>4693.5</v>
      </c>
      <c r="J688">
        <v>894</v>
      </c>
      <c r="K688">
        <f>Table1[[#This Row],[Liters_Sold]]</f>
        <v>4470</v>
      </c>
      <c r="L688">
        <f>Table1[[#This Row],[Delivery volume]]*0.05</f>
        <v>223.5</v>
      </c>
      <c r="M688" s="16">
        <f>Table1[[#This Row],[Delivery Cost]]/Table1[[#This Row],[Revenue]]</f>
        <v>0.04</v>
      </c>
      <c r="N688" t="str">
        <f t="shared" si="10"/>
        <v>Dec</v>
      </c>
    </row>
    <row r="689" spans="1:14" x14ac:dyDescent="0.2">
      <c r="A689" s="1">
        <v>45447</v>
      </c>
      <c r="B689" t="s">
        <v>15</v>
      </c>
      <c r="C689" t="s">
        <v>29</v>
      </c>
      <c r="D689" t="s">
        <v>12</v>
      </c>
      <c r="E689">
        <v>2540</v>
      </c>
      <c r="F689">
        <v>1.25</v>
      </c>
      <c r="G689">
        <v>1.05</v>
      </c>
      <c r="H689">
        <v>3175</v>
      </c>
      <c r="I689">
        <v>2667</v>
      </c>
      <c r="J689">
        <v>508</v>
      </c>
      <c r="K689">
        <f>Table1[[#This Row],[Liters_Sold]]</f>
        <v>2540</v>
      </c>
      <c r="L689">
        <f>Table1[[#This Row],[Delivery volume]]*0.05</f>
        <v>127</v>
      </c>
      <c r="M689" s="16">
        <f>Table1[[#This Row],[Delivery Cost]]/Table1[[#This Row],[Revenue]]</f>
        <v>0.04</v>
      </c>
      <c r="N689" t="str">
        <f t="shared" si="10"/>
        <v>Jun</v>
      </c>
    </row>
    <row r="690" spans="1:14" x14ac:dyDescent="0.2">
      <c r="A690" s="1">
        <v>45299</v>
      </c>
      <c r="B690" t="s">
        <v>32</v>
      </c>
      <c r="C690" t="s">
        <v>20</v>
      </c>
      <c r="D690" t="s">
        <v>18</v>
      </c>
      <c r="E690">
        <v>1083</v>
      </c>
      <c r="F690">
        <v>1.2</v>
      </c>
      <c r="G690">
        <v>1</v>
      </c>
      <c r="H690">
        <v>1299.5999999999999</v>
      </c>
      <c r="I690">
        <v>1083</v>
      </c>
      <c r="J690">
        <v>216.599999999999</v>
      </c>
      <c r="K690">
        <f>Table1[[#This Row],[Liters_Sold]]</f>
        <v>1083</v>
      </c>
      <c r="L690">
        <f>Table1[[#This Row],[Delivery volume]]*0.05</f>
        <v>54.150000000000006</v>
      </c>
      <c r="M690" s="16">
        <f>Table1[[#This Row],[Delivery Cost]]/Table1[[#This Row],[Revenue]]</f>
        <v>4.1666666666666671E-2</v>
      </c>
      <c r="N690" t="str">
        <f t="shared" si="10"/>
        <v>Jan</v>
      </c>
    </row>
    <row r="691" spans="1:14" x14ac:dyDescent="0.2">
      <c r="A691" s="1">
        <v>45413</v>
      </c>
      <c r="B691" t="s">
        <v>27</v>
      </c>
      <c r="C691" t="s">
        <v>20</v>
      </c>
      <c r="D691" t="s">
        <v>18</v>
      </c>
      <c r="E691">
        <v>5915</v>
      </c>
      <c r="F691">
        <v>1.2</v>
      </c>
      <c r="G691">
        <v>1</v>
      </c>
      <c r="H691">
        <v>7098</v>
      </c>
      <c r="I691">
        <v>5915</v>
      </c>
      <c r="J691">
        <v>1183</v>
      </c>
      <c r="K691">
        <f>Table1[[#This Row],[Liters_Sold]]</f>
        <v>5915</v>
      </c>
      <c r="L691">
        <f>Table1[[#This Row],[Delivery volume]]*0.05</f>
        <v>295.75</v>
      </c>
      <c r="M691" s="16">
        <f>Table1[[#This Row],[Delivery Cost]]/Table1[[#This Row],[Revenue]]</f>
        <v>4.1666666666666664E-2</v>
      </c>
      <c r="N691" t="str">
        <f t="shared" si="10"/>
        <v>May</v>
      </c>
    </row>
    <row r="692" spans="1:14" x14ac:dyDescent="0.2">
      <c r="A692" s="1">
        <v>45639</v>
      </c>
      <c r="B692" t="s">
        <v>30</v>
      </c>
      <c r="C692" t="s">
        <v>29</v>
      </c>
      <c r="D692" t="s">
        <v>12</v>
      </c>
      <c r="E692">
        <v>4831</v>
      </c>
      <c r="F692">
        <v>1.25</v>
      </c>
      <c r="G692">
        <v>1.05</v>
      </c>
      <c r="H692">
        <v>6038.75</v>
      </c>
      <c r="I692">
        <v>5072.55</v>
      </c>
      <c r="J692">
        <v>966.19999999999902</v>
      </c>
      <c r="K692">
        <f>Table1[[#This Row],[Liters_Sold]]</f>
        <v>4831</v>
      </c>
      <c r="L692">
        <f>Table1[[#This Row],[Delivery volume]]*0.05</f>
        <v>241.55</v>
      </c>
      <c r="M692" s="16">
        <f>Table1[[#This Row],[Delivery Cost]]/Table1[[#This Row],[Revenue]]</f>
        <v>0.04</v>
      </c>
      <c r="N692" t="str">
        <f t="shared" si="10"/>
        <v>Dec</v>
      </c>
    </row>
    <row r="693" spans="1:14" x14ac:dyDescent="0.2">
      <c r="A693" s="1">
        <v>45455</v>
      </c>
      <c r="B693" t="s">
        <v>31</v>
      </c>
      <c r="C693" t="s">
        <v>17</v>
      </c>
      <c r="D693" t="s">
        <v>12</v>
      </c>
      <c r="E693">
        <v>2603</v>
      </c>
      <c r="F693">
        <v>1.25</v>
      </c>
      <c r="G693">
        <v>1.05</v>
      </c>
      <c r="H693">
        <v>3253.75</v>
      </c>
      <c r="I693">
        <v>2733.15</v>
      </c>
      <c r="J693">
        <v>520.599999999999</v>
      </c>
      <c r="K693">
        <f>Table1[[#This Row],[Liters_Sold]]</f>
        <v>2603</v>
      </c>
      <c r="L693">
        <f>Table1[[#This Row],[Delivery volume]]*0.05</f>
        <v>130.15</v>
      </c>
      <c r="M693" s="16">
        <f>Table1[[#This Row],[Delivery Cost]]/Table1[[#This Row],[Revenue]]</f>
        <v>0.04</v>
      </c>
      <c r="N693" t="str">
        <f t="shared" si="10"/>
        <v>Jun</v>
      </c>
    </row>
    <row r="694" spans="1:14" x14ac:dyDescent="0.2">
      <c r="A694" s="1">
        <v>45381</v>
      </c>
      <c r="B694" t="s">
        <v>25</v>
      </c>
      <c r="C694" t="s">
        <v>23</v>
      </c>
      <c r="D694" t="s">
        <v>12</v>
      </c>
      <c r="E694">
        <v>2442</v>
      </c>
      <c r="F694">
        <v>1.25</v>
      </c>
      <c r="G694">
        <v>1.05</v>
      </c>
      <c r="H694">
        <v>3052.5</v>
      </c>
      <c r="I694">
        <v>2564.1</v>
      </c>
      <c r="J694">
        <v>488.4</v>
      </c>
      <c r="K694">
        <f>Table1[[#This Row],[Liters_Sold]]</f>
        <v>2442</v>
      </c>
      <c r="L694">
        <f>Table1[[#This Row],[Delivery volume]]*0.05</f>
        <v>122.10000000000001</v>
      </c>
      <c r="M694" s="16">
        <f>Table1[[#This Row],[Delivery Cost]]/Table1[[#This Row],[Revenue]]</f>
        <v>0.04</v>
      </c>
      <c r="N694" t="str">
        <f t="shared" si="10"/>
        <v>Mar</v>
      </c>
    </row>
    <row r="695" spans="1:14" x14ac:dyDescent="0.2">
      <c r="A695" s="1">
        <v>45427</v>
      </c>
      <c r="B695" t="s">
        <v>30</v>
      </c>
      <c r="C695" t="s">
        <v>11</v>
      </c>
      <c r="D695" t="s">
        <v>12</v>
      </c>
      <c r="E695">
        <v>4955</v>
      </c>
      <c r="F695">
        <v>1.25</v>
      </c>
      <c r="G695">
        <v>1.05</v>
      </c>
      <c r="H695">
        <v>6193.75</v>
      </c>
      <c r="I695">
        <v>5202.75</v>
      </c>
      <c r="J695">
        <v>991</v>
      </c>
      <c r="K695">
        <f>Table1[[#This Row],[Liters_Sold]]</f>
        <v>4955</v>
      </c>
      <c r="L695">
        <f>Table1[[#This Row],[Delivery volume]]*0.05</f>
        <v>247.75</v>
      </c>
      <c r="M695" s="16">
        <f>Table1[[#This Row],[Delivery Cost]]/Table1[[#This Row],[Revenue]]</f>
        <v>0.04</v>
      </c>
      <c r="N695" t="str">
        <f t="shared" si="10"/>
        <v>May</v>
      </c>
    </row>
    <row r="696" spans="1:14" x14ac:dyDescent="0.2">
      <c r="A696" s="1">
        <v>45477</v>
      </c>
      <c r="B696" t="s">
        <v>10</v>
      </c>
      <c r="C696" t="s">
        <v>20</v>
      </c>
      <c r="D696" t="s">
        <v>18</v>
      </c>
      <c r="E696">
        <v>609</v>
      </c>
      <c r="F696">
        <v>1.2</v>
      </c>
      <c r="G696">
        <v>1</v>
      </c>
      <c r="H696">
        <v>730.8</v>
      </c>
      <c r="I696">
        <v>609</v>
      </c>
      <c r="J696">
        <v>121.799999999999</v>
      </c>
      <c r="K696">
        <f>Table1[[#This Row],[Liters_Sold]]</f>
        <v>609</v>
      </c>
      <c r="L696">
        <f>Table1[[#This Row],[Delivery volume]]*0.05</f>
        <v>30.450000000000003</v>
      </c>
      <c r="M696" s="16">
        <f>Table1[[#This Row],[Delivery Cost]]/Table1[[#This Row],[Revenue]]</f>
        <v>4.1666666666666671E-2</v>
      </c>
      <c r="N696" t="str">
        <f t="shared" si="10"/>
        <v>Jul</v>
      </c>
    </row>
    <row r="697" spans="1:14" x14ac:dyDescent="0.2">
      <c r="A697" s="1">
        <v>45607</v>
      </c>
      <c r="B697" t="s">
        <v>31</v>
      </c>
      <c r="C697" t="s">
        <v>11</v>
      </c>
      <c r="D697" t="s">
        <v>18</v>
      </c>
      <c r="E697">
        <v>691</v>
      </c>
      <c r="F697">
        <v>1.2</v>
      </c>
      <c r="G697">
        <v>1</v>
      </c>
      <c r="H697">
        <v>829.19999999999902</v>
      </c>
      <c r="I697">
        <v>691</v>
      </c>
      <c r="J697">
        <v>138.19999999999899</v>
      </c>
      <c r="K697">
        <f>Table1[[#This Row],[Liters_Sold]]</f>
        <v>691</v>
      </c>
      <c r="L697">
        <f>Table1[[#This Row],[Delivery volume]]*0.05</f>
        <v>34.550000000000004</v>
      </c>
      <c r="M697" s="16">
        <f>Table1[[#This Row],[Delivery Cost]]/Table1[[#This Row],[Revenue]]</f>
        <v>4.166666666666672E-2</v>
      </c>
      <c r="N697" t="str">
        <f t="shared" si="10"/>
        <v>Nov</v>
      </c>
    </row>
    <row r="698" spans="1:14" x14ac:dyDescent="0.2">
      <c r="A698" s="1">
        <v>45469</v>
      </c>
      <c r="B698" t="s">
        <v>26</v>
      </c>
      <c r="C698" t="s">
        <v>29</v>
      </c>
      <c r="D698" t="s">
        <v>12</v>
      </c>
      <c r="E698">
        <v>1403</v>
      </c>
      <c r="F698">
        <v>1.25</v>
      </c>
      <c r="G698">
        <v>1.05</v>
      </c>
      <c r="H698">
        <v>1753.75</v>
      </c>
      <c r="I698">
        <v>1473.15</v>
      </c>
      <c r="J698">
        <v>280.599999999999</v>
      </c>
      <c r="K698">
        <f>Table1[[#This Row],[Liters_Sold]]</f>
        <v>1403</v>
      </c>
      <c r="L698">
        <f>Table1[[#This Row],[Delivery volume]]*0.05</f>
        <v>70.150000000000006</v>
      </c>
      <c r="M698" s="16">
        <f>Table1[[#This Row],[Delivery Cost]]/Table1[[#This Row],[Revenue]]</f>
        <v>0.04</v>
      </c>
      <c r="N698" t="str">
        <f t="shared" si="10"/>
        <v>Jun</v>
      </c>
    </row>
    <row r="699" spans="1:14" x14ac:dyDescent="0.2">
      <c r="A699" s="1">
        <v>45319</v>
      </c>
      <c r="B699" t="s">
        <v>32</v>
      </c>
      <c r="C699" t="s">
        <v>11</v>
      </c>
      <c r="D699" t="s">
        <v>12</v>
      </c>
      <c r="E699">
        <v>5712</v>
      </c>
      <c r="F699">
        <v>1.25</v>
      </c>
      <c r="G699">
        <v>1.05</v>
      </c>
      <c r="H699">
        <v>7140</v>
      </c>
      <c r="I699">
        <v>5997.6</v>
      </c>
      <c r="J699">
        <v>1142.3999999999901</v>
      </c>
      <c r="K699">
        <f>Table1[[#This Row],[Liters_Sold]]</f>
        <v>5712</v>
      </c>
      <c r="L699">
        <f>Table1[[#This Row],[Delivery volume]]*0.05</f>
        <v>285.60000000000002</v>
      </c>
      <c r="M699" s="16">
        <f>Table1[[#This Row],[Delivery Cost]]/Table1[[#This Row],[Revenue]]</f>
        <v>0.04</v>
      </c>
      <c r="N699" t="str">
        <f t="shared" si="10"/>
        <v>Jan</v>
      </c>
    </row>
    <row r="700" spans="1:14" x14ac:dyDescent="0.2">
      <c r="A700" s="1">
        <v>45511</v>
      </c>
      <c r="B700" t="s">
        <v>31</v>
      </c>
      <c r="C700" t="s">
        <v>29</v>
      </c>
      <c r="D700" t="s">
        <v>12</v>
      </c>
      <c r="E700">
        <v>1361</v>
      </c>
      <c r="F700">
        <v>1.25</v>
      </c>
      <c r="G700">
        <v>1.05</v>
      </c>
      <c r="H700">
        <v>1701.25</v>
      </c>
      <c r="I700">
        <v>1429.05</v>
      </c>
      <c r="J700">
        <v>272.2</v>
      </c>
      <c r="K700">
        <f>Table1[[#This Row],[Liters_Sold]]</f>
        <v>1361</v>
      </c>
      <c r="L700">
        <f>Table1[[#This Row],[Delivery volume]]*0.05</f>
        <v>68.05</v>
      </c>
      <c r="M700" s="16">
        <f>Table1[[#This Row],[Delivery Cost]]/Table1[[#This Row],[Revenue]]</f>
        <v>0.04</v>
      </c>
      <c r="N700" t="str">
        <f t="shared" si="10"/>
        <v>Aug</v>
      </c>
    </row>
    <row r="701" spans="1:14" x14ac:dyDescent="0.2">
      <c r="A701" s="1">
        <v>45648</v>
      </c>
      <c r="B701" t="s">
        <v>10</v>
      </c>
      <c r="C701" t="s">
        <v>11</v>
      </c>
      <c r="D701" t="s">
        <v>12</v>
      </c>
      <c r="E701">
        <v>1583</v>
      </c>
      <c r="F701">
        <v>1.25</v>
      </c>
      <c r="G701">
        <v>1.05</v>
      </c>
      <c r="H701">
        <v>1978.75</v>
      </c>
      <c r="I701">
        <v>1662.15</v>
      </c>
      <c r="J701">
        <v>316.599999999999</v>
      </c>
      <c r="K701">
        <f>Table1[[#This Row],[Liters_Sold]]</f>
        <v>1583</v>
      </c>
      <c r="L701">
        <f>Table1[[#This Row],[Delivery volume]]*0.05</f>
        <v>79.150000000000006</v>
      </c>
      <c r="M701" s="16">
        <f>Table1[[#This Row],[Delivery Cost]]/Table1[[#This Row],[Revenue]]</f>
        <v>0.04</v>
      </c>
      <c r="N701" t="str">
        <f t="shared" si="10"/>
        <v>Dec</v>
      </c>
    </row>
    <row r="702" spans="1:14" x14ac:dyDescent="0.2">
      <c r="A702" s="1">
        <v>45332</v>
      </c>
      <c r="B702" t="s">
        <v>28</v>
      </c>
      <c r="C702" t="s">
        <v>23</v>
      </c>
      <c r="D702" t="s">
        <v>18</v>
      </c>
      <c r="E702">
        <v>1149</v>
      </c>
      <c r="F702">
        <v>1.2</v>
      </c>
      <c r="G702">
        <v>1</v>
      </c>
      <c r="H702">
        <v>1378.8</v>
      </c>
      <c r="I702">
        <v>1149</v>
      </c>
      <c r="J702">
        <v>229.79999999999899</v>
      </c>
      <c r="K702">
        <f>Table1[[#This Row],[Liters_Sold]]</f>
        <v>1149</v>
      </c>
      <c r="L702">
        <f>Table1[[#This Row],[Delivery volume]]*0.05</f>
        <v>57.45</v>
      </c>
      <c r="M702" s="16">
        <f>Table1[[#This Row],[Delivery Cost]]/Table1[[#This Row],[Revenue]]</f>
        <v>4.1666666666666671E-2</v>
      </c>
      <c r="N702" t="str">
        <f t="shared" si="10"/>
        <v>Feb</v>
      </c>
    </row>
    <row r="703" spans="1:14" x14ac:dyDescent="0.2">
      <c r="A703" s="1">
        <v>45519</v>
      </c>
      <c r="B703" t="s">
        <v>13</v>
      </c>
      <c r="C703" t="s">
        <v>23</v>
      </c>
      <c r="D703" t="s">
        <v>14</v>
      </c>
      <c r="E703">
        <v>4634</v>
      </c>
      <c r="F703">
        <v>0.9</v>
      </c>
      <c r="G703">
        <v>0.7</v>
      </c>
      <c r="H703">
        <v>4170.6000000000004</v>
      </c>
      <c r="I703">
        <v>3243.7999999999902</v>
      </c>
      <c r="J703">
        <v>926.8</v>
      </c>
      <c r="K703">
        <f>Table1[[#This Row],[Liters_Sold]]</f>
        <v>4634</v>
      </c>
      <c r="L703">
        <f>Table1[[#This Row],[Delivery volume]]*0.05</f>
        <v>231.70000000000002</v>
      </c>
      <c r="M703" s="16">
        <f>Table1[[#This Row],[Delivery Cost]]/Table1[[#This Row],[Revenue]]</f>
        <v>5.5555555555555552E-2</v>
      </c>
      <c r="N703" t="str">
        <f t="shared" si="10"/>
        <v>Aug</v>
      </c>
    </row>
    <row r="704" spans="1:14" x14ac:dyDescent="0.2">
      <c r="A704" s="1">
        <v>45483</v>
      </c>
      <c r="B704" t="s">
        <v>27</v>
      </c>
      <c r="C704" t="s">
        <v>23</v>
      </c>
      <c r="D704" t="s">
        <v>18</v>
      </c>
      <c r="E704">
        <v>4111</v>
      </c>
      <c r="F704">
        <v>1.2</v>
      </c>
      <c r="G704">
        <v>1</v>
      </c>
      <c r="H704">
        <v>4933.2</v>
      </c>
      <c r="I704">
        <v>4111</v>
      </c>
      <c r="J704">
        <v>822.19999999999902</v>
      </c>
      <c r="K704">
        <f>Table1[[#This Row],[Liters_Sold]]</f>
        <v>4111</v>
      </c>
      <c r="L704">
        <f>Table1[[#This Row],[Delivery volume]]*0.05</f>
        <v>205.55</v>
      </c>
      <c r="M704" s="16">
        <f>Table1[[#This Row],[Delivery Cost]]/Table1[[#This Row],[Revenue]]</f>
        <v>4.1666666666666671E-2</v>
      </c>
      <c r="N704" t="str">
        <f t="shared" si="10"/>
        <v>Jul</v>
      </c>
    </row>
    <row r="705" spans="1:14" x14ac:dyDescent="0.2">
      <c r="A705" s="1">
        <v>45436</v>
      </c>
      <c r="B705" t="s">
        <v>21</v>
      </c>
      <c r="C705" t="s">
        <v>23</v>
      </c>
      <c r="D705" t="s">
        <v>12</v>
      </c>
      <c r="E705">
        <v>1136</v>
      </c>
      <c r="F705">
        <v>1.25</v>
      </c>
      <c r="G705">
        <v>1.05</v>
      </c>
      <c r="H705">
        <v>1420</v>
      </c>
      <c r="I705">
        <v>1192.8</v>
      </c>
      <c r="J705">
        <v>227.2</v>
      </c>
      <c r="K705">
        <f>Table1[[#This Row],[Liters_Sold]]</f>
        <v>1136</v>
      </c>
      <c r="L705">
        <f>Table1[[#This Row],[Delivery volume]]*0.05</f>
        <v>56.800000000000004</v>
      </c>
      <c r="M705" s="16">
        <f>Table1[[#This Row],[Delivery Cost]]/Table1[[#This Row],[Revenue]]</f>
        <v>0.04</v>
      </c>
      <c r="N705" t="str">
        <f t="shared" si="10"/>
        <v>May</v>
      </c>
    </row>
    <row r="706" spans="1:14" x14ac:dyDescent="0.2">
      <c r="A706" s="1">
        <v>45492</v>
      </c>
      <c r="B706" t="s">
        <v>32</v>
      </c>
      <c r="C706" t="s">
        <v>23</v>
      </c>
      <c r="D706" t="s">
        <v>14</v>
      </c>
      <c r="E706">
        <v>1536</v>
      </c>
      <c r="F706">
        <v>0.9</v>
      </c>
      <c r="G706">
        <v>0.7</v>
      </c>
      <c r="H706">
        <v>1382.4</v>
      </c>
      <c r="I706">
        <v>1075.19999999999</v>
      </c>
      <c r="J706">
        <v>307.2</v>
      </c>
      <c r="K706">
        <f>Table1[[#This Row],[Liters_Sold]]</f>
        <v>1536</v>
      </c>
      <c r="L706">
        <f>Table1[[#This Row],[Delivery volume]]*0.05</f>
        <v>76.800000000000011</v>
      </c>
      <c r="M706" s="16">
        <f>Table1[[#This Row],[Delivery Cost]]/Table1[[#This Row],[Revenue]]</f>
        <v>5.5555555555555559E-2</v>
      </c>
      <c r="N706" t="str">
        <f t="shared" ref="N706:N769" si="11">TEXT(A706,"mmm")</f>
        <v>Jul</v>
      </c>
    </row>
    <row r="707" spans="1:14" x14ac:dyDescent="0.2">
      <c r="A707" s="1">
        <v>45503</v>
      </c>
      <c r="B707" t="s">
        <v>21</v>
      </c>
      <c r="C707" t="s">
        <v>23</v>
      </c>
      <c r="D707" t="s">
        <v>18</v>
      </c>
      <c r="E707">
        <v>4631</v>
      </c>
      <c r="F707">
        <v>1.2</v>
      </c>
      <c r="G707">
        <v>1</v>
      </c>
      <c r="H707">
        <v>5557.2</v>
      </c>
      <c r="I707">
        <v>4631</v>
      </c>
      <c r="J707">
        <v>926.19999999999902</v>
      </c>
      <c r="K707">
        <f>Table1[[#This Row],[Liters_Sold]]</f>
        <v>4631</v>
      </c>
      <c r="L707">
        <f>Table1[[#This Row],[Delivery volume]]*0.05</f>
        <v>231.55</v>
      </c>
      <c r="M707" s="16">
        <f>Table1[[#This Row],[Delivery Cost]]/Table1[[#This Row],[Revenue]]</f>
        <v>4.1666666666666671E-2</v>
      </c>
      <c r="N707" t="str">
        <f t="shared" si="11"/>
        <v>Jul</v>
      </c>
    </row>
    <row r="708" spans="1:14" x14ac:dyDescent="0.2">
      <c r="A708" s="1">
        <v>45511</v>
      </c>
      <c r="B708" t="s">
        <v>19</v>
      </c>
      <c r="C708" t="s">
        <v>29</v>
      </c>
      <c r="D708" t="s">
        <v>18</v>
      </c>
      <c r="E708">
        <v>2648</v>
      </c>
      <c r="F708">
        <v>1.2</v>
      </c>
      <c r="G708">
        <v>1</v>
      </c>
      <c r="H708">
        <v>3177.6</v>
      </c>
      <c r="I708">
        <v>2648</v>
      </c>
      <c r="J708">
        <v>529.599999999999</v>
      </c>
      <c r="K708">
        <f>Table1[[#This Row],[Liters_Sold]]</f>
        <v>2648</v>
      </c>
      <c r="L708">
        <f>Table1[[#This Row],[Delivery volume]]*0.05</f>
        <v>132.4</v>
      </c>
      <c r="M708" s="16">
        <f>Table1[[#This Row],[Delivery Cost]]/Table1[[#This Row],[Revenue]]</f>
        <v>4.1666666666666671E-2</v>
      </c>
      <c r="N708" t="str">
        <f t="shared" si="11"/>
        <v>Aug</v>
      </c>
    </row>
    <row r="709" spans="1:14" x14ac:dyDescent="0.2">
      <c r="A709" s="1">
        <v>45531</v>
      </c>
      <c r="B709" t="s">
        <v>15</v>
      </c>
      <c r="C709" t="s">
        <v>20</v>
      </c>
      <c r="D709" t="s">
        <v>12</v>
      </c>
      <c r="E709">
        <v>4365</v>
      </c>
      <c r="F709">
        <v>1.25</v>
      </c>
      <c r="G709">
        <v>1.05</v>
      </c>
      <c r="H709">
        <v>5456.25</v>
      </c>
      <c r="I709">
        <v>4583.25</v>
      </c>
      <c r="J709">
        <v>873</v>
      </c>
      <c r="K709">
        <f>Table1[[#This Row],[Liters_Sold]]</f>
        <v>4365</v>
      </c>
      <c r="L709">
        <f>Table1[[#This Row],[Delivery volume]]*0.05</f>
        <v>218.25</v>
      </c>
      <c r="M709" s="16">
        <f>Table1[[#This Row],[Delivery Cost]]/Table1[[#This Row],[Revenue]]</f>
        <v>0.04</v>
      </c>
      <c r="N709" t="str">
        <f t="shared" si="11"/>
        <v>Aug</v>
      </c>
    </row>
    <row r="710" spans="1:14" x14ac:dyDescent="0.2">
      <c r="A710" s="1">
        <v>45337</v>
      </c>
      <c r="B710" t="s">
        <v>32</v>
      </c>
      <c r="C710" t="s">
        <v>11</v>
      </c>
      <c r="D710" t="s">
        <v>12</v>
      </c>
      <c r="E710">
        <v>3657</v>
      </c>
      <c r="F710">
        <v>1.25</v>
      </c>
      <c r="G710">
        <v>1.05</v>
      </c>
      <c r="H710">
        <v>4571.25</v>
      </c>
      <c r="I710">
        <v>3839.85</v>
      </c>
      <c r="J710">
        <v>731.39999999999895</v>
      </c>
      <c r="K710">
        <f>Table1[[#This Row],[Liters_Sold]]</f>
        <v>3657</v>
      </c>
      <c r="L710">
        <f>Table1[[#This Row],[Delivery volume]]*0.05</f>
        <v>182.85000000000002</v>
      </c>
      <c r="M710" s="16">
        <f>Table1[[#This Row],[Delivery Cost]]/Table1[[#This Row],[Revenue]]</f>
        <v>4.0000000000000008E-2</v>
      </c>
      <c r="N710" t="str">
        <f t="shared" si="11"/>
        <v>Feb</v>
      </c>
    </row>
    <row r="711" spans="1:14" x14ac:dyDescent="0.2">
      <c r="A711" s="1">
        <v>45326</v>
      </c>
      <c r="B711" t="s">
        <v>25</v>
      </c>
      <c r="C711" t="s">
        <v>23</v>
      </c>
      <c r="D711" t="s">
        <v>12</v>
      </c>
      <c r="E711">
        <v>4087</v>
      </c>
      <c r="F711">
        <v>1.25</v>
      </c>
      <c r="G711">
        <v>1.05</v>
      </c>
      <c r="H711">
        <v>5108.75</v>
      </c>
      <c r="I711">
        <v>4291.3500000000004</v>
      </c>
      <c r="J711">
        <v>817.39999999999895</v>
      </c>
      <c r="K711">
        <f>Table1[[#This Row],[Liters_Sold]]</f>
        <v>4087</v>
      </c>
      <c r="L711">
        <f>Table1[[#This Row],[Delivery volume]]*0.05</f>
        <v>204.35000000000002</v>
      </c>
      <c r="M711" s="16">
        <f>Table1[[#This Row],[Delivery Cost]]/Table1[[#This Row],[Revenue]]</f>
        <v>4.0000000000000008E-2</v>
      </c>
      <c r="N711" t="str">
        <f t="shared" si="11"/>
        <v>Feb</v>
      </c>
    </row>
    <row r="712" spans="1:14" x14ac:dyDescent="0.2">
      <c r="A712" s="1">
        <v>45544</v>
      </c>
      <c r="B712" t="s">
        <v>32</v>
      </c>
      <c r="C712" t="s">
        <v>29</v>
      </c>
      <c r="D712" t="s">
        <v>12</v>
      </c>
      <c r="E712">
        <v>3794</v>
      </c>
      <c r="F712">
        <v>1.25</v>
      </c>
      <c r="G712">
        <v>1.05</v>
      </c>
      <c r="H712">
        <v>4742.5</v>
      </c>
      <c r="I712">
        <v>3983.7</v>
      </c>
      <c r="J712">
        <v>758.79999999999905</v>
      </c>
      <c r="K712">
        <f>Table1[[#This Row],[Liters_Sold]]</f>
        <v>3794</v>
      </c>
      <c r="L712">
        <f>Table1[[#This Row],[Delivery volume]]*0.05</f>
        <v>189.70000000000002</v>
      </c>
      <c r="M712" s="16">
        <f>Table1[[#This Row],[Delivery Cost]]/Table1[[#This Row],[Revenue]]</f>
        <v>0.04</v>
      </c>
      <c r="N712" t="str">
        <f t="shared" si="11"/>
        <v>Sep</v>
      </c>
    </row>
    <row r="713" spans="1:14" x14ac:dyDescent="0.2">
      <c r="A713" s="1">
        <v>45373</v>
      </c>
      <c r="B713" t="s">
        <v>24</v>
      </c>
      <c r="C713" t="s">
        <v>29</v>
      </c>
      <c r="D713" t="s">
        <v>12</v>
      </c>
      <c r="E713">
        <v>5957</v>
      </c>
      <c r="F713">
        <v>1.25</v>
      </c>
      <c r="G713">
        <v>1.05</v>
      </c>
      <c r="H713">
        <v>7446.25</v>
      </c>
      <c r="I713">
        <v>6254.85</v>
      </c>
      <c r="J713">
        <v>1191.3999999999901</v>
      </c>
      <c r="K713">
        <f>Table1[[#This Row],[Liters_Sold]]</f>
        <v>5957</v>
      </c>
      <c r="L713">
        <f>Table1[[#This Row],[Delivery volume]]*0.05</f>
        <v>297.85000000000002</v>
      </c>
      <c r="M713" s="16">
        <f>Table1[[#This Row],[Delivery Cost]]/Table1[[#This Row],[Revenue]]</f>
        <v>0.04</v>
      </c>
      <c r="N713" t="str">
        <f t="shared" si="11"/>
        <v>Mar</v>
      </c>
    </row>
    <row r="714" spans="1:14" x14ac:dyDescent="0.2">
      <c r="A714" s="1">
        <v>45547</v>
      </c>
      <c r="B714" t="s">
        <v>13</v>
      </c>
      <c r="C714" t="s">
        <v>29</v>
      </c>
      <c r="D714" t="s">
        <v>12</v>
      </c>
      <c r="E714">
        <v>4761</v>
      </c>
      <c r="F714">
        <v>1.25</v>
      </c>
      <c r="G714">
        <v>1.05</v>
      </c>
      <c r="H714">
        <v>5951.25</v>
      </c>
      <c r="I714">
        <v>4999.05</v>
      </c>
      <c r="J714">
        <v>952.19999999999902</v>
      </c>
      <c r="K714">
        <f>Table1[[#This Row],[Liters_Sold]]</f>
        <v>4761</v>
      </c>
      <c r="L714">
        <f>Table1[[#This Row],[Delivery volume]]*0.05</f>
        <v>238.05</v>
      </c>
      <c r="M714" s="16">
        <f>Table1[[#This Row],[Delivery Cost]]/Table1[[#This Row],[Revenue]]</f>
        <v>0.04</v>
      </c>
      <c r="N714" t="str">
        <f t="shared" si="11"/>
        <v>Sep</v>
      </c>
    </row>
    <row r="715" spans="1:14" x14ac:dyDescent="0.2">
      <c r="A715" s="1">
        <v>45488</v>
      </c>
      <c r="B715" t="s">
        <v>24</v>
      </c>
      <c r="C715" t="s">
        <v>20</v>
      </c>
      <c r="D715" t="s">
        <v>12</v>
      </c>
      <c r="E715">
        <v>2930</v>
      </c>
      <c r="F715">
        <v>1.25</v>
      </c>
      <c r="G715">
        <v>1.05</v>
      </c>
      <c r="H715">
        <v>3662.5</v>
      </c>
      <c r="I715">
        <v>3076.5</v>
      </c>
      <c r="J715">
        <v>586</v>
      </c>
      <c r="K715">
        <f>Table1[[#This Row],[Liters_Sold]]</f>
        <v>2930</v>
      </c>
      <c r="L715">
        <f>Table1[[#This Row],[Delivery volume]]*0.05</f>
        <v>146.5</v>
      </c>
      <c r="M715" s="16">
        <f>Table1[[#This Row],[Delivery Cost]]/Table1[[#This Row],[Revenue]]</f>
        <v>0.04</v>
      </c>
      <c r="N715" t="str">
        <f t="shared" si="11"/>
        <v>Jul</v>
      </c>
    </row>
    <row r="716" spans="1:14" x14ac:dyDescent="0.2">
      <c r="A716" s="1">
        <v>45594</v>
      </c>
      <c r="B716" t="s">
        <v>32</v>
      </c>
      <c r="C716" t="s">
        <v>11</v>
      </c>
      <c r="D716" t="s">
        <v>18</v>
      </c>
      <c r="E716">
        <v>2379</v>
      </c>
      <c r="F716">
        <v>1.2</v>
      </c>
      <c r="G716">
        <v>1</v>
      </c>
      <c r="H716">
        <v>2854.7999999999902</v>
      </c>
      <c r="I716">
        <v>2379</v>
      </c>
      <c r="J716">
        <v>475.79999999999899</v>
      </c>
      <c r="K716">
        <f>Table1[[#This Row],[Liters_Sold]]</f>
        <v>2379</v>
      </c>
      <c r="L716">
        <f>Table1[[#This Row],[Delivery volume]]*0.05</f>
        <v>118.95</v>
      </c>
      <c r="M716" s="16">
        <f>Table1[[#This Row],[Delivery Cost]]/Table1[[#This Row],[Revenue]]</f>
        <v>4.166666666666681E-2</v>
      </c>
      <c r="N716" t="str">
        <f t="shared" si="11"/>
        <v>Oct</v>
      </c>
    </row>
    <row r="717" spans="1:14" x14ac:dyDescent="0.2">
      <c r="A717" s="1">
        <v>45301</v>
      </c>
      <c r="B717" t="s">
        <v>27</v>
      </c>
      <c r="C717" t="s">
        <v>20</v>
      </c>
      <c r="D717" t="s">
        <v>12</v>
      </c>
      <c r="E717">
        <v>4466</v>
      </c>
      <c r="F717">
        <v>1.25</v>
      </c>
      <c r="G717">
        <v>1.05</v>
      </c>
      <c r="H717">
        <v>5582.5</v>
      </c>
      <c r="I717">
        <v>4689.3</v>
      </c>
      <c r="J717">
        <v>893.19999999999902</v>
      </c>
      <c r="K717">
        <f>Table1[[#This Row],[Liters_Sold]]</f>
        <v>4466</v>
      </c>
      <c r="L717">
        <f>Table1[[#This Row],[Delivery volume]]*0.05</f>
        <v>223.3</v>
      </c>
      <c r="M717" s="16">
        <f>Table1[[#This Row],[Delivery Cost]]/Table1[[#This Row],[Revenue]]</f>
        <v>0.04</v>
      </c>
      <c r="N717" t="str">
        <f t="shared" si="11"/>
        <v>Jan</v>
      </c>
    </row>
    <row r="718" spans="1:14" x14ac:dyDescent="0.2">
      <c r="A718" s="1">
        <v>45603</v>
      </c>
      <c r="B718" t="s">
        <v>31</v>
      </c>
      <c r="C718" t="s">
        <v>17</v>
      </c>
      <c r="D718" t="s">
        <v>12</v>
      </c>
      <c r="E718">
        <v>4213</v>
      </c>
      <c r="F718">
        <v>1.25</v>
      </c>
      <c r="G718">
        <v>1.05</v>
      </c>
      <c r="H718">
        <v>5266.25</v>
      </c>
      <c r="I718">
        <v>4423.6499999999996</v>
      </c>
      <c r="J718">
        <v>842.599999999999</v>
      </c>
      <c r="K718">
        <f>Table1[[#This Row],[Liters_Sold]]</f>
        <v>4213</v>
      </c>
      <c r="L718">
        <f>Table1[[#This Row],[Delivery volume]]*0.05</f>
        <v>210.65</v>
      </c>
      <c r="M718" s="16">
        <f>Table1[[#This Row],[Delivery Cost]]/Table1[[#This Row],[Revenue]]</f>
        <v>0.04</v>
      </c>
      <c r="N718" t="str">
        <f t="shared" si="11"/>
        <v>Nov</v>
      </c>
    </row>
    <row r="719" spans="1:14" x14ac:dyDescent="0.2">
      <c r="A719" s="1">
        <v>45577</v>
      </c>
      <c r="B719" t="s">
        <v>21</v>
      </c>
      <c r="C719" t="s">
        <v>29</v>
      </c>
      <c r="D719" t="s">
        <v>14</v>
      </c>
      <c r="E719">
        <v>4626</v>
      </c>
      <c r="F719">
        <v>0.9</v>
      </c>
      <c r="G719">
        <v>0.7</v>
      </c>
      <c r="H719">
        <v>4163.3999999999996</v>
      </c>
      <c r="I719">
        <v>3238.2</v>
      </c>
      <c r="J719">
        <v>925.2</v>
      </c>
      <c r="K719">
        <f>Table1[[#This Row],[Liters_Sold]]</f>
        <v>4626</v>
      </c>
      <c r="L719">
        <f>Table1[[#This Row],[Delivery volume]]*0.05</f>
        <v>231.3</v>
      </c>
      <c r="M719" s="16">
        <f>Table1[[#This Row],[Delivery Cost]]/Table1[[#This Row],[Revenue]]</f>
        <v>5.5555555555555566E-2</v>
      </c>
      <c r="N719" t="str">
        <f t="shared" si="11"/>
        <v>Oct</v>
      </c>
    </row>
    <row r="720" spans="1:14" x14ac:dyDescent="0.2">
      <c r="A720" s="1">
        <v>45533</v>
      </c>
      <c r="B720" t="s">
        <v>27</v>
      </c>
      <c r="C720" t="s">
        <v>17</v>
      </c>
      <c r="D720" t="s">
        <v>14</v>
      </c>
      <c r="E720">
        <v>4606</v>
      </c>
      <c r="F720">
        <v>0.9</v>
      </c>
      <c r="G720">
        <v>0.7</v>
      </c>
      <c r="H720">
        <v>4145.3999999999996</v>
      </c>
      <c r="I720">
        <v>3224.2</v>
      </c>
      <c r="J720">
        <v>921.2</v>
      </c>
      <c r="K720">
        <f>Table1[[#This Row],[Liters_Sold]]</f>
        <v>4606</v>
      </c>
      <c r="L720">
        <f>Table1[[#This Row],[Delivery volume]]*0.05</f>
        <v>230.3</v>
      </c>
      <c r="M720" s="16">
        <f>Table1[[#This Row],[Delivery Cost]]/Table1[[#This Row],[Revenue]]</f>
        <v>5.5555555555555566E-2</v>
      </c>
      <c r="N720" t="str">
        <f t="shared" si="11"/>
        <v>Aug</v>
      </c>
    </row>
    <row r="721" spans="1:14" x14ac:dyDescent="0.2">
      <c r="A721" s="1">
        <v>45542</v>
      </c>
      <c r="B721" t="s">
        <v>32</v>
      </c>
      <c r="C721" t="s">
        <v>23</v>
      </c>
      <c r="D721" t="s">
        <v>18</v>
      </c>
      <c r="E721">
        <v>2511</v>
      </c>
      <c r="F721">
        <v>1.2</v>
      </c>
      <c r="G721">
        <v>1</v>
      </c>
      <c r="H721">
        <v>3013.2</v>
      </c>
      <c r="I721">
        <v>2511</v>
      </c>
      <c r="J721">
        <v>502.19999999999902</v>
      </c>
      <c r="K721">
        <f>Table1[[#This Row],[Liters_Sold]]</f>
        <v>2511</v>
      </c>
      <c r="L721">
        <f>Table1[[#This Row],[Delivery volume]]*0.05</f>
        <v>125.55000000000001</v>
      </c>
      <c r="M721" s="16">
        <f>Table1[[#This Row],[Delivery Cost]]/Table1[[#This Row],[Revenue]]</f>
        <v>4.1666666666666671E-2</v>
      </c>
      <c r="N721" t="str">
        <f t="shared" si="11"/>
        <v>Sep</v>
      </c>
    </row>
    <row r="722" spans="1:14" x14ac:dyDescent="0.2">
      <c r="A722" s="1">
        <v>45656</v>
      </c>
      <c r="B722" t="s">
        <v>10</v>
      </c>
      <c r="C722" t="s">
        <v>23</v>
      </c>
      <c r="D722" t="s">
        <v>14</v>
      </c>
      <c r="E722">
        <v>3873</v>
      </c>
      <c r="F722">
        <v>0.9</v>
      </c>
      <c r="G722">
        <v>0.7</v>
      </c>
      <c r="H722">
        <v>3485.7</v>
      </c>
      <c r="I722">
        <v>2711.1</v>
      </c>
      <c r="J722">
        <v>774.6</v>
      </c>
      <c r="K722">
        <f>Table1[[#This Row],[Liters_Sold]]</f>
        <v>3873</v>
      </c>
      <c r="L722">
        <f>Table1[[#This Row],[Delivery volume]]*0.05</f>
        <v>193.65</v>
      </c>
      <c r="M722" s="16">
        <f>Table1[[#This Row],[Delivery Cost]]/Table1[[#This Row],[Revenue]]</f>
        <v>5.5555555555555559E-2</v>
      </c>
      <c r="N722" t="str">
        <f t="shared" si="11"/>
        <v>Dec</v>
      </c>
    </row>
    <row r="723" spans="1:14" x14ac:dyDescent="0.2">
      <c r="A723" s="1">
        <v>45296</v>
      </c>
      <c r="B723" t="s">
        <v>31</v>
      </c>
      <c r="C723" t="s">
        <v>20</v>
      </c>
      <c r="D723" t="s">
        <v>18</v>
      </c>
      <c r="E723">
        <v>2643</v>
      </c>
      <c r="F723">
        <v>1.2</v>
      </c>
      <c r="G723">
        <v>1</v>
      </c>
      <c r="H723">
        <v>3171.6</v>
      </c>
      <c r="I723">
        <v>2643</v>
      </c>
      <c r="J723">
        <v>528.599999999999</v>
      </c>
      <c r="K723">
        <f>Table1[[#This Row],[Liters_Sold]]</f>
        <v>2643</v>
      </c>
      <c r="L723">
        <f>Table1[[#This Row],[Delivery volume]]*0.05</f>
        <v>132.15</v>
      </c>
      <c r="M723" s="16">
        <f>Table1[[#This Row],[Delivery Cost]]/Table1[[#This Row],[Revenue]]</f>
        <v>4.1666666666666671E-2</v>
      </c>
      <c r="N723" t="str">
        <f t="shared" si="11"/>
        <v>Jan</v>
      </c>
    </row>
    <row r="724" spans="1:14" x14ac:dyDescent="0.2">
      <c r="A724" s="1">
        <v>45410</v>
      </c>
      <c r="B724" t="s">
        <v>10</v>
      </c>
      <c r="C724" t="s">
        <v>11</v>
      </c>
      <c r="D724" t="s">
        <v>14</v>
      </c>
      <c r="E724">
        <v>3000</v>
      </c>
      <c r="F724">
        <v>0.9</v>
      </c>
      <c r="G724">
        <v>0.7</v>
      </c>
      <c r="H724">
        <v>2700</v>
      </c>
      <c r="I724">
        <v>2100</v>
      </c>
      <c r="J724">
        <v>600</v>
      </c>
      <c r="K724">
        <f>Table1[[#This Row],[Liters_Sold]]</f>
        <v>3000</v>
      </c>
      <c r="L724">
        <f>Table1[[#This Row],[Delivery volume]]*0.05</f>
        <v>150</v>
      </c>
      <c r="M724" s="16">
        <f>Table1[[#This Row],[Delivery Cost]]/Table1[[#This Row],[Revenue]]</f>
        <v>5.5555555555555552E-2</v>
      </c>
      <c r="N724" t="str">
        <f t="shared" si="11"/>
        <v>Apr</v>
      </c>
    </row>
    <row r="725" spans="1:14" x14ac:dyDescent="0.2">
      <c r="A725" s="1">
        <v>45580</v>
      </c>
      <c r="B725" t="s">
        <v>21</v>
      </c>
      <c r="C725" t="s">
        <v>17</v>
      </c>
      <c r="D725" t="s">
        <v>12</v>
      </c>
      <c r="E725">
        <v>5081</v>
      </c>
      <c r="F725">
        <v>1.25</v>
      </c>
      <c r="G725">
        <v>1.05</v>
      </c>
      <c r="H725">
        <v>6351.25</v>
      </c>
      <c r="I725">
        <v>5335.05</v>
      </c>
      <c r="J725">
        <v>1016.19999999999</v>
      </c>
      <c r="K725">
        <f>Table1[[#This Row],[Liters_Sold]]</f>
        <v>5081</v>
      </c>
      <c r="L725">
        <f>Table1[[#This Row],[Delivery volume]]*0.05</f>
        <v>254.05</v>
      </c>
      <c r="M725" s="16">
        <f>Table1[[#This Row],[Delivery Cost]]/Table1[[#This Row],[Revenue]]</f>
        <v>0.04</v>
      </c>
      <c r="N725" t="str">
        <f t="shared" si="11"/>
        <v>Oct</v>
      </c>
    </row>
    <row r="726" spans="1:14" x14ac:dyDescent="0.2">
      <c r="A726" s="1">
        <v>45356</v>
      </c>
      <c r="B726" t="s">
        <v>31</v>
      </c>
      <c r="C726" t="s">
        <v>11</v>
      </c>
      <c r="D726" t="s">
        <v>12</v>
      </c>
      <c r="E726">
        <v>1789</v>
      </c>
      <c r="F726">
        <v>1.25</v>
      </c>
      <c r="G726">
        <v>1.05</v>
      </c>
      <c r="H726">
        <v>2236.25</v>
      </c>
      <c r="I726">
        <v>1878.45</v>
      </c>
      <c r="J726">
        <v>357.79999999999899</v>
      </c>
      <c r="K726">
        <f>Table1[[#This Row],[Liters_Sold]]</f>
        <v>1789</v>
      </c>
      <c r="L726">
        <f>Table1[[#This Row],[Delivery volume]]*0.05</f>
        <v>89.45</v>
      </c>
      <c r="M726" s="16">
        <f>Table1[[#This Row],[Delivery Cost]]/Table1[[#This Row],[Revenue]]</f>
        <v>0.04</v>
      </c>
      <c r="N726" t="str">
        <f t="shared" si="11"/>
        <v>Mar</v>
      </c>
    </row>
    <row r="727" spans="1:14" x14ac:dyDescent="0.2">
      <c r="A727" s="1">
        <v>45437</v>
      </c>
      <c r="B727" t="s">
        <v>25</v>
      </c>
      <c r="C727" t="s">
        <v>20</v>
      </c>
      <c r="D727" t="s">
        <v>12</v>
      </c>
      <c r="E727">
        <v>1947</v>
      </c>
      <c r="F727">
        <v>1.25</v>
      </c>
      <c r="G727">
        <v>1.05</v>
      </c>
      <c r="H727">
        <v>2433.75</v>
      </c>
      <c r="I727">
        <v>2044.35</v>
      </c>
      <c r="J727">
        <v>389.39999999999901</v>
      </c>
      <c r="K727">
        <f>Table1[[#This Row],[Liters_Sold]]</f>
        <v>1947</v>
      </c>
      <c r="L727">
        <f>Table1[[#This Row],[Delivery volume]]*0.05</f>
        <v>97.350000000000009</v>
      </c>
      <c r="M727" s="16">
        <f>Table1[[#This Row],[Delivery Cost]]/Table1[[#This Row],[Revenue]]</f>
        <v>0.04</v>
      </c>
      <c r="N727" t="str">
        <f t="shared" si="11"/>
        <v>May</v>
      </c>
    </row>
    <row r="728" spans="1:14" x14ac:dyDescent="0.2">
      <c r="A728" s="1">
        <v>45515</v>
      </c>
      <c r="B728" t="s">
        <v>13</v>
      </c>
      <c r="C728" t="s">
        <v>23</v>
      </c>
      <c r="D728" t="s">
        <v>12</v>
      </c>
      <c r="E728">
        <v>3699</v>
      </c>
      <c r="F728">
        <v>1.25</v>
      </c>
      <c r="G728">
        <v>1.05</v>
      </c>
      <c r="H728">
        <v>4623.75</v>
      </c>
      <c r="I728">
        <v>3883.95</v>
      </c>
      <c r="J728">
        <v>739.79999999999905</v>
      </c>
      <c r="K728">
        <f>Table1[[#This Row],[Liters_Sold]]</f>
        <v>3699</v>
      </c>
      <c r="L728">
        <f>Table1[[#This Row],[Delivery volume]]*0.05</f>
        <v>184.95000000000002</v>
      </c>
      <c r="M728" s="16">
        <f>Table1[[#This Row],[Delivery Cost]]/Table1[[#This Row],[Revenue]]</f>
        <v>0.04</v>
      </c>
      <c r="N728" t="str">
        <f t="shared" si="11"/>
        <v>Aug</v>
      </c>
    </row>
    <row r="729" spans="1:14" x14ac:dyDescent="0.2">
      <c r="A729" s="1">
        <v>45530</v>
      </c>
      <c r="B729" t="s">
        <v>30</v>
      </c>
      <c r="C729" t="s">
        <v>11</v>
      </c>
      <c r="D729" t="s">
        <v>12</v>
      </c>
      <c r="E729">
        <v>2443</v>
      </c>
      <c r="F729">
        <v>1.25</v>
      </c>
      <c r="G729">
        <v>1.05</v>
      </c>
      <c r="H729">
        <v>3053.75</v>
      </c>
      <c r="I729">
        <v>2565.15</v>
      </c>
      <c r="J729">
        <v>488.599999999999</v>
      </c>
      <c r="K729">
        <f>Table1[[#This Row],[Liters_Sold]]</f>
        <v>2443</v>
      </c>
      <c r="L729">
        <f>Table1[[#This Row],[Delivery volume]]*0.05</f>
        <v>122.15</v>
      </c>
      <c r="M729" s="16">
        <f>Table1[[#This Row],[Delivery Cost]]/Table1[[#This Row],[Revenue]]</f>
        <v>0.04</v>
      </c>
      <c r="N729" t="str">
        <f t="shared" si="11"/>
        <v>Aug</v>
      </c>
    </row>
    <row r="730" spans="1:14" x14ac:dyDescent="0.2">
      <c r="A730" s="1">
        <v>45468</v>
      </c>
      <c r="B730" t="s">
        <v>16</v>
      </c>
      <c r="C730" t="s">
        <v>11</v>
      </c>
      <c r="D730" t="s">
        <v>18</v>
      </c>
      <c r="E730">
        <v>3683</v>
      </c>
      <c r="F730">
        <v>1.2</v>
      </c>
      <c r="G730">
        <v>1</v>
      </c>
      <c r="H730">
        <v>4419.5999999999904</v>
      </c>
      <c r="I730">
        <v>3683</v>
      </c>
      <c r="J730">
        <v>736.599999999999</v>
      </c>
      <c r="K730">
        <f>Table1[[#This Row],[Liters_Sold]]</f>
        <v>3683</v>
      </c>
      <c r="L730">
        <f>Table1[[#This Row],[Delivery volume]]*0.05</f>
        <v>184.15</v>
      </c>
      <c r="M730" s="16">
        <f>Table1[[#This Row],[Delivery Cost]]/Table1[[#This Row],[Revenue]]</f>
        <v>4.1666666666666761E-2</v>
      </c>
      <c r="N730" t="str">
        <f t="shared" si="11"/>
        <v>Jun</v>
      </c>
    </row>
    <row r="731" spans="1:14" x14ac:dyDescent="0.2">
      <c r="A731" s="1">
        <v>45558</v>
      </c>
      <c r="B731" t="s">
        <v>26</v>
      </c>
      <c r="C731" t="s">
        <v>23</v>
      </c>
      <c r="D731" t="s">
        <v>18</v>
      </c>
      <c r="E731">
        <v>5962</v>
      </c>
      <c r="F731">
        <v>1.2</v>
      </c>
      <c r="G731">
        <v>1</v>
      </c>
      <c r="H731">
        <v>7154.4</v>
      </c>
      <c r="I731">
        <v>5962</v>
      </c>
      <c r="J731">
        <v>1192.3999999999901</v>
      </c>
      <c r="K731">
        <f>Table1[[#This Row],[Liters_Sold]]</f>
        <v>5962</v>
      </c>
      <c r="L731">
        <f>Table1[[#This Row],[Delivery volume]]*0.05</f>
        <v>298.10000000000002</v>
      </c>
      <c r="M731" s="16">
        <f>Table1[[#This Row],[Delivery Cost]]/Table1[[#This Row],[Revenue]]</f>
        <v>4.1666666666666671E-2</v>
      </c>
      <c r="N731" t="str">
        <f t="shared" si="11"/>
        <v>Sep</v>
      </c>
    </row>
    <row r="732" spans="1:14" x14ac:dyDescent="0.2">
      <c r="A732" s="1">
        <v>45632</v>
      </c>
      <c r="B732" t="s">
        <v>27</v>
      </c>
      <c r="C732" t="s">
        <v>17</v>
      </c>
      <c r="D732" t="s">
        <v>18</v>
      </c>
      <c r="E732">
        <v>3716</v>
      </c>
      <c r="F732">
        <v>1.2</v>
      </c>
      <c r="G732">
        <v>1</v>
      </c>
      <c r="H732">
        <v>4459.2</v>
      </c>
      <c r="I732">
        <v>3716</v>
      </c>
      <c r="J732">
        <v>743.19999999999902</v>
      </c>
      <c r="K732">
        <f>Table1[[#This Row],[Liters_Sold]]</f>
        <v>3716</v>
      </c>
      <c r="L732">
        <f>Table1[[#This Row],[Delivery volume]]*0.05</f>
        <v>185.8</v>
      </c>
      <c r="M732" s="16">
        <f>Table1[[#This Row],[Delivery Cost]]/Table1[[#This Row],[Revenue]]</f>
        <v>4.1666666666666671E-2</v>
      </c>
      <c r="N732" t="str">
        <f t="shared" si="11"/>
        <v>Dec</v>
      </c>
    </row>
    <row r="733" spans="1:14" x14ac:dyDescent="0.2">
      <c r="A733" s="1">
        <v>45573</v>
      </c>
      <c r="B733" t="s">
        <v>15</v>
      </c>
      <c r="C733" t="s">
        <v>23</v>
      </c>
      <c r="D733" t="s">
        <v>12</v>
      </c>
      <c r="E733">
        <v>3636</v>
      </c>
      <c r="F733">
        <v>1.25</v>
      </c>
      <c r="G733">
        <v>1.05</v>
      </c>
      <c r="H733">
        <v>4545</v>
      </c>
      <c r="I733">
        <v>3817.8</v>
      </c>
      <c r="J733">
        <v>727.19999999999902</v>
      </c>
      <c r="K733">
        <f>Table1[[#This Row],[Liters_Sold]]</f>
        <v>3636</v>
      </c>
      <c r="L733">
        <f>Table1[[#This Row],[Delivery volume]]*0.05</f>
        <v>181.8</v>
      </c>
      <c r="M733" s="16">
        <f>Table1[[#This Row],[Delivery Cost]]/Table1[[#This Row],[Revenue]]</f>
        <v>0.04</v>
      </c>
      <c r="N733" t="str">
        <f t="shared" si="11"/>
        <v>Oct</v>
      </c>
    </row>
    <row r="734" spans="1:14" x14ac:dyDescent="0.2">
      <c r="A734" s="1">
        <v>45354</v>
      </c>
      <c r="B734" t="s">
        <v>27</v>
      </c>
      <c r="C734" t="s">
        <v>11</v>
      </c>
      <c r="D734" t="s">
        <v>18</v>
      </c>
      <c r="E734">
        <v>3818</v>
      </c>
      <c r="F734">
        <v>1.2</v>
      </c>
      <c r="G734">
        <v>1</v>
      </c>
      <c r="H734">
        <v>4581.5999999999904</v>
      </c>
      <c r="I734">
        <v>3818</v>
      </c>
      <c r="J734">
        <v>763.599999999999</v>
      </c>
      <c r="K734">
        <f>Table1[[#This Row],[Liters_Sold]]</f>
        <v>3818</v>
      </c>
      <c r="L734">
        <f>Table1[[#This Row],[Delivery volume]]*0.05</f>
        <v>190.9</v>
      </c>
      <c r="M734" s="16">
        <f>Table1[[#This Row],[Delivery Cost]]/Table1[[#This Row],[Revenue]]</f>
        <v>4.1666666666666755E-2</v>
      </c>
      <c r="N734" t="str">
        <f t="shared" si="11"/>
        <v>Mar</v>
      </c>
    </row>
    <row r="735" spans="1:14" x14ac:dyDescent="0.2">
      <c r="A735" s="1">
        <v>45508</v>
      </c>
      <c r="B735" t="s">
        <v>16</v>
      </c>
      <c r="C735" t="s">
        <v>17</v>
      </c>
      <c r="D735" t="s">
        <v>18</v>
      </c>
      <c r="E735">
        <v>3282</v>
      </c>
      <c r="F735">
        <v>1.2</v>
      </c>
      <c r="G735">
        <v>1</v>
      </c>
      <c r="H735">
        <v>3938.3999999999901</v>
      </c>
      <c r="I735">
        <v>3282</v>
      </c>
      <c r="J735">
        <v>656.39999999999895</v>
      </c>
      <c r="K735">
        <f>Table1[[#This Row],[Liters_Sold]]</f>
        <v>3282</v>
      </c>
      <c r="L735">
        <f>Table1[[#This Row],[Delivery volume]]*0.05</f>
        <v>164.10000000000002</v>
      </c>
      <c r="M735" s="16">
        <f>Table1[[#This Row],[Delivery Cost]]/Table1[[#This Row],[Revenue]]</f>
        <v>4.1666666666666775E-2</v>
      </c>
      <c r="N735" t="str">
        <f t="shared" si="11"/>
        <v>Aug</v>
      </c>
    </row>
    <row r="736" spans="1:14" x14ac:dyDescent="0.2">
      <c r="A736" s="1">
        <v>45633</v>
      </c>
      <c r="B736" t="s">
        <v>30</v>
      </c>
      <c r="C736" t="s">
        <v>17</v>
      </c>
      <c r="D736" t="s">
        <v>12</v>
      </c>
      <c r="E736">
        <v>1490</v>
      </c>
      <c r="F736">
        <v>1.25</v>
      </c>
      <c r="G736">
        <v>1.05</v>
      </c>
      <c r="H736">
        <v>1862.5</v>
      </c>
      <c r="I736">
        <v>1564.5</v>
      </c>
      <c r="J736">
        <v>298</v>
      </c>
      <c r="K736">
        <f>Table1[[#This Row],[Liters_Sold]]</f>
        <v>1490</v>
      </c>
      <c r="L736">
        <f>Table1[[#This Row],[Delivery volume]]*0.05</f>
        <v>74.5</v>
      </c>
      <c r="M736" s="16">
        <f>Table1[[#This Row],[Delivery Cost]]/Table1[[#This Row],[Revenue]]</f>
        <v>0.04</v>
      </c>
      <c r="N736" t="str">
        <f t="shared" si="11"/>
        <v>Dec</v>
      </c>
    </row>
    <row r="737" spans="1:14" x14ac:dyDescent="0.2">
      <c r="A737" s="1">
        <v>45606</v>
      </c>
      <c r="B737" t="s">
        <v>22</v>
      </c>
      <c r="C737" t="s">
        <v>23</v>
      </c>
      <c r="D737" t="s">
        <v>18</v>
      </c>
      <c r="E737">
        <v>5420</v>
      </c>
      <c r="F737">
        <v>1.2</v>
      </c>
      <c r="G737">
        <v>1</v>
      </c>
      <c r="H737">
        <v>6504</v>
      </c>
      <c r="I737">
        <v>5420</v>
      </c>
      <c r="J737">
        <v>1084</v>
      </c>
      <c r="K737">
        <f>Table1[[#This Row],[Liters_Sold]]</f>
        <v>5420</v>
      </c>
      <c r="L737">
        <f>Table1[[#This Row],[Delivery volume]]*0.05</f>
        <v>271</v>
      </c>
      <c r="M737" s="16">
        <f>Table1[[#This Row],[Delivery Cost]]/Table1[[#This Row],[Revenue]]</f>
        <v>4.1666666666666664E-2</v>
      </c>
      <c r="N737" t="str">
        <f t="shared" si="11"/>
        <v>Nov</v>
      </c>
    </row>
    <row r="738" spans="1:14" x14ac:dyDescent="0.2">
      <c r="A738" s="1">
        <v>45574</v>
      </c>
      <c r="B738" t="s">
        <v>28</v>
      </c>
      <c r="C738" t="s">
        <v>11</v>
      </c>
      <c r="D738" t="s">
        <v>12</v>
      </c>
      <c r="E738">
        <v>2653</v>
      </c>
      <c r="F738">
        <v>1.25</v>
      </c>
      <c r="G738">
        <v>1.05</v>
      </c>
      <c r="H738">
        <v>3316.25</v>
      </c>
      <c r="I738">
        <v>2785.65</v>
      </c>
      <c r="J738">
        <v>530.599999999999</v>
      </c>
      <c r="K738">
        <f>Table1[[#This Row],[Liters_Sold]]</f>
        <v>2653</v>
      </c>
      <c r="L738">
        <f>Table1[[#This Row],[Delivery volume]]*0.05</f>
        <v>132.65</v>
      </c>
      <c r="M738" s="16">
        <f>Table1[[#This Row],[Delivery Cost]]/Table1[[#This Row],[Revenue]]</f>
        <v>0.04</v>
      </c>
      <c r="N738" t="str">
        <f t="shared" si="11"/>
        <v>Oct</v>
      </c>
    </row>
    <row r="739" spans="1:14" x14ac:dyDescent="0.2">
      <c r="A739" s="1">
        <v>45468</v>
      </c>
      <c r="B739" t="s">
        <v>25</v>
      </c>
      <c r="C739" t="s">
        <v>20</v>
      </c>
      <c r="D739" t="s">
        <v>12</v>
      </c>
      <c r="E739">
        <v>725</v>
      </c>
      <c r="F739">
        <v>1.25</v>
      </c>
      <c r="G739">
        <v>1.05</v>
      </c>
      <c r="H739">
        <v>906.25</v>
      </c>
      <c r="I739">
        <v>761.25</v>
      </c>
      <c r="J739">
        <v>145</v>
      </c>
      <c r="K739">
        <f>Table1[[#This Row],[Liters_Sold]]</f>
        <v>725</v>
      </c>
      <c r="L739">
        <f>Table1[[#This Row],[Delivery volume]]*0.05</f>
        <v>36.25</v>
      </c>
      <c r="M739" s="16">
        <f>Table1[[#This Row],[Delivery Cost]]/Table1[[#This Row],[Revenue]]</f>
        <v>0.04</v>
      </c>
      <c r="N739" t="str">
        <f t="shared" si="11"/>
        <v>Jun</v>
      </c>
    </row>
    <row r="740" spans="1:14" x14ac:dyDescent="0.2">
      <c r="A740" s="1">
        <v>45389</v>
      </c>
      <c r="B740" t="s">
        <v>10</v>
      </c>
      <c r="C740" t="s">
        <v>11</v>
      </c>
      <c r="D740" t="s">
        <v>14</v>
      </c>
      <c r="E740">
        <v>1276</v>
      </c>
      <c r="F740">
        <v>0.9</v>
      </c>
      <c r="G740">
        <v>0.7</v>
      </c>
      <c r="H740">
        <v>1148.4000000000001</v>
      </c>
      <c r="I740">
        <v>893.19999999999902</v>
      </c>
      <c r="J740">
        <v>255.2</v>
      </c>
      <c r="K740">
        <f>Table1[[#This Row],[Liters_Sold]]</f>
        <v>1276</v>
      </c>
      <c r="L740">
        <f>Table1[[#This Row],[Delivery volume]]*0.05</f>
        <v>63.800000000000004</v>
      </c>
      <c r="M740" s="16">
        <f>Table1[[#This Row],[Delivery Cost]]/Table1[[#This Row],[Revenue]]</f>
        <v>5.5555555555555552E-2</v>
      </c>
      <c r="N740" t="str">
        <f t="shared" si="11"/>
        <v>Apr</v>
      </c>
    </row>
    <row r="741" spans="1:14" x14ac:dyDescent="0.2">
      <c r="A741" s="1">
        <v>45396</v>
      </c>
      <c r="B741" t="s">
        <v>32</v>
      </c>
      <c r="C741" t="s">
        <v>29</v>
      </c>
      <c r="D741" t="s">
        <v>12</v>
      </c>
      <c r="E741">
        <v>3337</v>
      </c>
      <c r="F741">
        <v>1.25</v>
      </c>
      <c r="G741">
        <v>1.05</v>
      </c>
      <c r="H741">
        <v>4171.25</v>
      </c>
      <c r="I741">
        <v>3503.85</v>
      </c>
      <c r="J741">
        <v>667.39999999999895</v>
      </c>
      <c r="K741">
        <f>Table1[[#This Row],[Liters_Sold]]</f>
        <v>3337</v>
      </c>
      <c r="L741">
        <f>Table1[[#This Row],[Delivery volume]]*0.05</f>
        <v>166.85000000000002</v>
      </c>
      <c r="M741" s="16">
        <f>Table1[[#This Row],[Delivery Cost]]/Table1[[#This Row],[Revenue]]</f>
        <v>4.0000000000000008E-2</v>
      </c>
      <c r="N741" t="str">
        <f t="shared" si="11"/>
        <v>Apr</v>
      </c>
    </row>
    <row r="742" spans="1:14" x14ac:dyDescent="0.2">
      <c r="A742" s="1">
        <v>45390</v>
      </c>
      <c r="B742" t="s">
        <v>25</v>
      </c>
      <c r="C742" t="s">
        <v>20</v>
      </c>
      <c r="D742" t="s">
        <v>12</v>
      </c>
      <c r="E742">
        <v>5708</v>
      </c>
      <c r="F742">
        <v>1.25</v>
      </c>
      <c r="G742">
        <v>1.05</v>
      </c>
      <c r="H742">
        <v>7135</v>
      </c>
      <c r="I742">
        <v>5993.4</v>
      </c>
      <c r="J742">
        <v>1141.5999999999899</v>
      </c>
      <c r="K742">
        <f>Table1[[#This Row],[Liters_Sold]]</f>
        <v>5708</v>
      </c>
      <c r="L742">
        <f>Table1[[#This Row],[Delivery volume]]*0.05</f>
        <v>285.40000000000003</v>
      </c>
      <c r="M742" s="16">
        <f>Table1[[#This Row],[Delivery Cost]]/Table1[[#This Row],[Revenue]]</f>
        <v>4.0000000000000008E-2</v>
      </c>
      <c r="N742" t="str">
        <f t="shared" si="11"/>
        <v>Apr</v>
      </c>
    </row>
    <row r="743" spans="1:14" x14ac:dyDescent="0.2">
      <c r="A743" s="1">
        <v>45602</v>
      </c>
      <c r="B743" t="s">
        <v>16</v>
      </c>
      <c r="C743" t="s">
        <v>17</v>
      </c>
      <c r="D743" t="s">
        <v>14</v>
      </c>
      <c r="E743">
        <v>1187</v>
      </c>
      <c r="F743">
        <v>0.9</v>
      </c>
      <c r="G743">
        <v>0.7</v>
      </c>
      <c r="H743">
        <v>1068.3</v>
      </c>
      <c r="I743">
        <v>830.9</v>
      </c>
      <c r="J743">
        <v>237.39999999999901</v>
      </c>
      <c r="K743">
        <f>Table1[[#This Row],[Liters_Sold]]</f>
        <v>1187</v>
      </c>
      <c r="L743">
        <f>Table1[[#This Row],[Delivery volume]]*0.05</f>
        <v>59.35</v>
      </c>
      <c r="M743" s="16">
        <f>Table1[[#This Row],[Delivery Cost]]/Table1[[#This Row],[Revenue]]</f>
        <v>5.5555555555555559E-2</v>
      </c>
      <c r="N743" t="str">
        <f t="shared" si="11"/>
        <v>Nov</v>
      </c>
    </row>
    <row r="744" spans="1:14" x14ac:dyDescent="0.2">
      <c r="A744" s="1">
        <v>45297</v>
      </c>
      <c r="B744" t="s">
        <v>32</v>
      </c>
      <c r="C744" t="s">
        <v>20</v>
      </c>
      <c r="D744" t="s">
        <v>18</v>
      </c>
      <c r="E744">
        <v>1029</v>
      </c>
      <c r="F744">
        <v>1.2</v>
      </c>
      <c r="G744">
        <v>1</v>
      </c>
      <c r="H744">
        <v>1234.8</v>
      </c>
      <c r="I744">
        <v>1029</v>
      </c>
      <c r="J744">
        <v>205.79999999999899</v>
      </c>
      <c r="K744">
        <f>Table1[[#This Row],[Liters_Sold]]</f>
        <v>1029</v>
      </c>
      <c r="L744">
        <f>Table1[[#This Row],[Delivery volume]]*0.05</f>
        <v>51.45</v>
      </c>
      <c r="M744" s="16">
        <f>Table1[[#This Row],[Delivery Cost]]/Table1[[#This Row],[Revenue]]</f>
        <v>4.1666666666666671E-2</v>
      </c>
      <c r="N744" t="str">
        <f t="shared" si="11"/>
        <v>Jan</v>
      </c>
    </row>
    <row r="745" spans="1:14" x14ac:dyDescent="0.2">
      <c r="A745" s="1">
        <v>45488</v>
      </c>
      <c r="B745" t="s">
        <v>15</v>
      </c>
      <c r="C745" t="s">
        <v>17</v>
      </c>
      <c r="D745" t="s">
        <v>12</v>
      </c>
      <c r="E745">
        <v>3942</v>
      </c>
      <c r="F745">
        <v>1.25</v>
      </c>
      <c r="G745">
        <v>1.05</v>
      </c>
      <c r="H745">
        <v>4927.5</v>
      </c>
      <c r="I745">
        <v>4139.1000000000004</v>
      </c>
      <c r="J745">
        <v>788.39999999999895</v>
      </c>
      <c r="K745">
        <f>Table1[[#This Row],[Liters_Sold]]</f>
        <v>3942</v>
      </c>
      <c r="L745">
        <f>Table1[[#This Row],[Delivery volume]]*0.05</f>
        <v>197.10000000000002</v>
      </c>
      <c r="M745" s="16">
        <f>Table1[[#This Row],[Delivery Cost]]/Table1[[#This Row],[Revenue]]</f>
        <v>4.0000000000000008E-2</v>
      </c>
      <c r="N745" t="str">
        <f t="shared" si="11"/>
        <v>Jul</v>
      </c>
    </row>
    <row r="746" spans="1:14" x14ac:dyDescent="0.2">
      <c r="A746" s="1">
        <v>45642</v>
      </c>
      <c r="B746" t="s">
        <v>24</v>
      </c>
      <c r="C746" t="s">
        <v>17</v>
      </c>
      <c r="D746" t="s">
        <v>12</v>
      </c>
      <c r="E746">
        <v>5567</v>
      </c>
      <c r="F746">
        <v>1.25</v>
      </c>
      <c r="G746">
        <v>1.05</v>
      </c>
      <c r="H746">
        <v>6958.75</v>
      </c>
      <c r="I746">
        <v>5845.35</v>
      </c>
      <c r="J746">
        <v>1113.3999999999901</v>
      </c>
      <c r="K746">
        <f>Table1[[#This Row],[Liters_Sold]]</f>
        <v>5567</v>
      </c>
      <c r="L746">
        <f>Table1[[#This Row],[Delivery volume]]*0.05</f>
        <v>278.35000000000002</v>
      </c>
      <c r="M746" s="16">
        <f>Table1[[#This Row],[Delivery Cost]]/Table1[[#This Row],[Revenue]]</f>
        <v>0.04</v>
      </c>
      <c r="N746" t="str">
        <f t="shared" si="11"/>
        <v>Dec</v>
      </c>
    </row>
    <row r="747" spans="1:14" x14ac:dyDescent="0.2">
      <c r="A747" s="1">
        <v>45424</v>
      </c>
      <c r="B747" t="s">
        <v>31</v>
      </c>
      <c r="C747" t="s">
        <v>20</v>
      </c>
      <c r="D747" t="s">
        <v>12</v>
      </c>
      <c r="E747">
        <v>5531</v>
      </c>
      <c r="F747">
        <v>1.25</v>
      </c>
      <c r="G747">
        <v>1.05</v>
      </c>
      <c r="H747">
        <v>6913.75</v>
      </c>
      <c r="I747">
        <v>5807.55</v>
      </c>
      <c r="J747">
        <v>1106.19999999999</v>
      </c>
      <c r="K747">
        <f>Table1[[#This Row],[Liters_Sold]]</f>
        <v>5531</v>
      </c>
      <c r="L747">
        <f>Table1[[#This Row],[Delivery volume]]*0.05</f>
        <v>276.55</v>
      </c>
      <c r="M747" s="16">
        <f>Table1[[#This Row],[Delivery Cost]]/Table1[[#This Row],[Revenue]]</f>
        <v>0.04</v>
      </c>
      <c r="N747" t="str">
        <f t="shared" si="11"/>
        <v>May</v>
      </c>
    </row>
    <row r="748" spans="1:14" x14ac:dyDescent="0.2">
      <c r="A748" s="1">
        <v>45649</v>
      </c>
      <c r="B748" t="s">
        <v>28</v>
      </c>
      <c r="C748" t="s">
        <v>17</v>
      </c>
      <c r="D748" t="s">
        <v>18</v>
      </c>
      <c r="E748">
        <v>2653</v>
      </c>
      <c r="F748">
        <v>1.2</v>
      </c>
      <c r="G748">
        <v>1</v>
      </c>
      <c r="H748">
        <v>3183.6</v>
      </c>
      <c r="I748">
        <v>2653</v>
      </c>
      <c r="J748">
        <v>530.599999999999</v>
      </c>
      <c r="K748">
        <f>Table1[[#This Row],[Liters_Sold]]</f>
        <v>2653</v>
      </c>
      <c r="L748">
        <f>Table1[[#This Row],[Delivery volume]]*0.05</f>
        <v>132.65</v>
      </c>
      <c r="M748" s="16">
        <f>Table1[[#This Row],[Delivery Cost]]/Table1[[#This Row],[Revenue]]</f>
        <v>4.1666666666666671E-2</v>
      </c>
      <c r="N748" t="str">
        <f t="shared" si="11"/>
        <v>Dec</v>
      </c>
    </row>
    <row r="749" spans="1:14" x14ac:dyDescent="0.2">
      <c r="A749" s="1">
        <v>45550</v>
      </c>
      <c r="B749" t="s">
        <v>13</v>
      </c>
      <c r="C749" t="s">
        <v>17</v>
      </c>
      <c r="D749" t="s">
        <v>12</v>
      </c>
      <c r="E749">
        <v>1794</v>
      </c>
      <c r="F749">
        <v>1.25</v>
      </c>
      <c r="G749">
        <v>1.05</v>
      </c>
      <c r="H749">
        <v>2242.5</v>
      </c>
      <c r="I749">
        <v>1883.7</v>
      </c>
      <c r="J749">
        <v>358.79999999999899</v>
      </c>
      <c r="K749">
        <f>Table1[[#This Row],[Liters_Sold]]</f>
        <v>1794</v>
      </c>
      <c r="L749">
        <f>Table1[[#This Row],[Delivery volume]]*0.05</f>
        <v>89.7</v>
      </c>
      <c r="M749" s="16">
        <f>Table1[[#This Row],[Delivery Cost]]/Table1[[#This Row],[Revenue]]</f>
        <v>0.04</v>
      </c>
      <c r="N749" t="str">
        <f t="shared" si="11"/>
        <v>Sep</v>
      </c>
    </row>
    <row r="750" spans="1:14" x14ac:dyDescent="0.2">
      <c r="A750" s="1">
        <v>45314</v>
      </c>
      <c r="B750" t="s">
        <v>13</v>
      </c>
      <c r="C750" t="s">
        <v>29</v>
      </c>
      <c r="D750" t="s">
        <v>12</v>
      </c>
      <c r="E750">
        <v>2026</v>
      </c>
      <c r="F750">
        <v>1.25</v>
      </c>
      <c r="G750">
        <v>1.05</v>
      </c>
      <c r="H750">
        <v>2532.5</v>
      </c>
      <c r="I750">
        <v>2127.3000000000002</v>
      </c>
      <c r="J750">
        <v>405.19999999999902</v>
      </c>
      <c r="K750">
        <f>Table1[[#This Row],[Liters_Sold]]</f>
        <v>2026</v>
      </c>
      <c r="L750">
        <f>Table1[[#This Row],[Delivery volume]]*0.05</f>
        <v>101.30000000000001</v>
      </c>
      <c r="M750" s="16">
        <f>Table1[[#This Row],[Delivery Cost]]/Table1[[#This Row],[Revenue]]</f>
        <v>4.0000000000000008E-2</v>
      </c>
      <c r="N750" t="str">
        <f t="shared" si="11"/>
        <v>Jan</v>
      </c>
    </row>
    <row r="751" spans="1:14" x14ac:dyDescent="0.2">
      <c r="A751" s="1">
        <v>45344</v>
      </c>
      <c r="B751" t="s">
        <v>16</v>
      </c>
      <c r="C751" t="s">
        <v>11</v>
      </c>
      <c r="D751" t="s">
        <v>14</v>
      </c>
      <c r="E751">
        <v>5274</v>
      </c>
      <c r="F751">
        <v>0.9</v>
      </c>
      <c r="G751">
        <v>0.7</v>
      </c>
      <c r="H751">
        <v>4746.6000000000004</v>
      </c>
      <c r="I751">
        <v>3691.7999999999902</v>
      </c>
      <c r="J751">
        <v>1054.8</v>
      </c>
      <c r="K751">
        <f>Table1[[#This Row],[Liters_Sold]]</f>
        <v>5274</v>
      </c>
      <c r="L751">
        <f>Table1[[#This Row],[Delivery volume]]*0.05</f>
        <v>263.7</v>
      </c>
      <c r="M751" s="16">
        <f>Table1[[#This Row],[Delivery Cost]]/Table1[[#This Row],[Revenue]]</f>
        <v>5.5555555555555546E-2</v>
      </c>
      <c r="N751" t="str">
        <f t="shared" si="11"/>
        <v>Feb</v>
      </c>
    </row>
    <row r="752" spans="1:14" x14ac:dyDescent="0.2">
      <c r="A752" s="1">
        <v>45456</v>
      </c>
      <c r="B752" t="s">
        <v>25</v>
      </c>
      <c r="C752" t="s">
        <v>11</v>
      </c>
      <c r="D752" t="s">
        <v>18</v>
      </c>
      <c r="E752">
        <v>3396</v>
      </c>
      <c r="F752">
        <v>1.2</v>
      </c>
      <c r="G752">
        <v>1</v>
      </c>
      <c r="H752">
        <v>4075.2</v>
      </c>
      <c r="I752">
        <v>3396</v>
      </c>
      <c r="J752">
        <v>679.19999999999902</v>
      </c>
      <c r="K752">
        <f>Table1[[#This Row],[Liters_Sold]]</f>
        <v>3396</v>
      </c>
      <c r="L752">
        <f>Table1[[#This Row],[Delivery volume]]*0.05</f>
        <v>169.8</v>
      </c>
      <c r="M752" s="16">
        <f>Table1[[#This Row],[Delivery Cost]]/Table1[[#This Row],[Revenue]]</f>
        <v>4.1666666666666671E-2</v>
      </c>
      <c r="N752" t="str">
        <f t="shared" si="11"/>
        <v>Jun</v>
      </c>
    </row>
    <row r="753" spans="1:14" x14ac:dyDescent="0.2">
      <c r="A753" s="1">
        <v>45493</v>
      </c>
      <c r="B753" t="s">
        <v>13</v>
      </c>
      <c r="C753" t="s">
        <v>29</v>
      </c>
      <c r="D753" t="s">
        <v>12</v>
      </c>
      <c r="E753">
        <v>3603</v>
      </c>
      <c r="F753">
        <v>1.25</v>
      </c>
      <c r="G753">
        <v>1.05</v>
      </c>
      <c r="H753">
        <v>4503.75</v>
      </c>
      <c r="I753">
        <v>3783.15</v>
      </c>
      <c r="J753">
        <v>720.599999999999</v>
      </c>
      <c r="K753">
        <f>Table1[[#This Row],[Liters_Sold]]</f>
        <v>3603</v>
      </c>
      <c r="L753">
        <f>Table1[[#This Row],[Delivery volume]]*0.05</f>
        <v>180.15</v>
      </c>
      <c r="M753" s="16">
        <f>Table1[[#This Row],[Delivery Cost]]/Table1[[#This Row],[Revenue]]</f>
        <v>0.04</v>
      </c>
      <c r="N753" t="str">
        <f t="shared" si="11"/>
        <v>Jul</v>
      </c>
    </row>
    <row r="754" spans="1:14" x14ac:dyDescent="0.2">
      <c r="A754" s="1">
        <v>45374</v>
      </c>
      <c r="B754" t="s">
        <v>15</v>
      </c>
      <c r="C754" t="s">
        <v>20</v>
      </c>
      <c r="D754" t="s">
        <v>18</v>
      </c>
      <c r="E754">
        <v>2940</v>
      </c>
      <c r="F754">
        <v>1.2</v>
      </c>
      <c r="G754">
        <v>1</v>
      </c>
      <c r="H754">
        <v>3528</v>
      </c>
      <c r="I754">
        <v>2940</v>
      </c>
      <c r="J754">
        <v>588</v>
      </c>
      <c r="K754">
        <f>Table1[[#This Row],[Liters_Sold]]</f>
        <v>2940</v>
      </c>
      <c r="L754">
        <f>Table1[[#This Row],[Delivery volume]]*0.05</f>
        <v>147</v>
      </c>
      <c r="M754" s="16">
        <f>Table1[[#This Row],[Delivery Cost]]/Table1[[#This Row],[Revenue]]</f>
        <v>4.1666666666666664E-2</v>
      </c>
      <c r="N754" t="str">
        <f t="shared" si="11"/>
        <v>Mar</v>
      </c>
    </row>
    <row r="755" spans="1:14" x14ac:dyDescent="0.2">
      <c r="A755" s="1">
        <v>45436</v>
      </c>
      <c r="B755" t="s">
        <v>10</v>
      </c>
      <c r="C755" t="s">
        <v>23</v>
      </c>
      <c r="D755" t="s">
        <v>18</v>
      </c>
      <c r="E755">
        <v>4635</v>
      </c>
      <c r="F755">
        <v>1.2</v>
      </c>
      <c r="G755">
        <v>1</v>
      </c>
      <c r="H755">
        <v>5562</v>
      </c>
      <c r="I755">
        <v>4635</v>
      </c>
      <c r="J755">
        <v>927</v>
      </c>
      <c r="K755">
        <f>Table1[[#This Row],[Liters_Sold]]</f>
        <v>4635</v>
      </c>
      <c r="L755">
        <f>Table1[[#This Row],[Delivery volume]]*0.05</f>
        <v>231.75</v>
      </c>
      <c r="M755" s="16">
        <f>Table1[[#This Row],[Delivery Cost]]/Table1[[#This Row],[Revenue]]</f>
        <v>4.1666666666666664E-2</v>
      </c>
      <c r="N755" t="str">
        <f t="shared" si="11"/>
        <v>May</v>
      </c>
    </row>
    <row r="756" spans="1:14" x14ac:dyDescent="0.2">
      <c r="A756" s="1">
        <v>45376</v>
      </c>
      <c r="B756" t="s">
        <v>22</v>
      </c>
      <c r="C756" t="s">
        <v>23</v>
      </c>
      <c r="D756" t="s">
        <v>12</v>
      </c>
      <c r="E756">
        <v>4302</v>
      </c>
      <c r="F756">
        <v>1.25</v>
      </c>
      <c r="G756">
        <v>1.05</v>
      </c>
      <c r="H756">
        <v>5377.5</v>
      </c>
      <c r="I756">
        <v>4517.1000000000004</v>
      </c>
      <c r="J756">
        <v>860.39999999999895</v>
      </c>
      <c r="K756">
        <f>Table1[[#This Row],[Liters_Sold]]</f>
        <v>4302</v>
      </c>
      <c r="L756">
        <f>Table1[[#This Row],[Delivery volume]]*0.05</f>
        <v>215.10000000000002</v>
      </c>
      <c r="M756" s="16">
        <f>Table1[[#This Row],[Delivery Cost]]/Table1[[#This Row],[Revenue]]</f>
        <v>0.04</v>
      </c>
      <c r="N756" t="str">
        <f t="shared" si="11"/>
        <v>Mar</v>
      </c>
    </row>
    <row r="757" spans="1:14" x14ac:dyDescent="0.2">
      <c r="A757" s="1">
        <v>45369</v>
      </c>
      <c r="B757" t="s">
        <v>27</v>
      </c>
      <c r="C757" t="s">
        <v>23</v>
      </c>
      <c r="D757" t="s">
        <v>12</v>
      </c>
      <c r="E757">
        <v>5701</v>
      </c>
      <c r="F757">
        <v>1.25</v>
      </c>
      <c r="G757">
        <v>1.05</v>
      </c>
      <c r="H757">
        <v>7126.25</v>
      </c>
      <c r="I757">
        <v>5986.05</v>
      </c>
      <c r="J757">
        <v>1140.19999999999</v>
      </c>
      <c r="K757">
        <f>Table1[[#This Row],[Liters_Sold]]</f>
        <v>5701</v>
      </c>
      <c r="L757">
        <f>Table1[[#This Row],[Delivery volume]]*0.05</f>
        <v>285.05</v>
      </c>
      <c r="M757" s="16">
        <f>Table1[[#This Row],[Delivery Cost]]/Table1[[#This Row],[Revenue]]</f>
        <v>0.04</v>
      </c>
      <c r="N757" t="str">
        <f t="shared" si="11"/>
        <v>Mar</v>
      </c>
    </row>
    <row r="758" spans="1:14" x14ac:dyDescent="0.2">
      <c r="A758" s="1">
        <v>45657</v>
      </c>
      <c r="B758" t="s">
        <v>19</v>
      </c>
      <c r="C758" t="s">
        <v>29</v>
      </c>
      <c r="D758" t="s">
        <v>18</v>
      </c>
      <c r="E758">
        <v>1344</v>
      </c>
      <c r="F758">
        <v>1.2</v>
      </c>
      <c r="G758">
        <v>1</v>
      </c>
      <c r="H758">
        <v>1612.8</v>
      </c>
      <c r="I758">
        <v>1344</v>
      </c>
      <c r="J758">
        <v>268.79999999999899</v>
      </c>
      <c r="K758">
        <f>Table1[[#This Row],[Liters_Sold]]</f>
        <v>1344</v>
      </c>
      <c r="L758">
        <f>Table1[[#This Row],[Delivery volume]]*0.05</f>
        <v>67.2</v>
      </c>
      <c r="M758" s="16">
        <f>Table1[[#This Row],[Delivery Cost]]/Table1[[#This Row],[Revenue]]</f>
        <v>4.1666666666666671E-2</v>
      </c>
      <c r="N758" t="str">
        <f t="shared" si="11"/>
        <v>Dec</v>
      </c>
    </row>
    <row r="759" spans="1:14" x14ac:dyDescent="0.2">
      <c r="A759" s="1">
        <v>45292</v>
      </c>
      <c r="B759" t="s">
        <v>15</v>
      </c>
      <c r="C759" t="s">
        <v>29</v>
      </c>
      <c r="D759" t="s">
        <v>12</v>
      </c>
      <c r="E759">
        <v>946</v>
      </c>
      <c r="F759">
        <v>1.25</v>
      </c>
      <c r="G759">
        <v>1.05</v>
      </c>
      <c r="H759">
        <v>1182.5</v>
      </c>
      <c r="I759">
        <v>993.3</v>
      </c>
      <c r="J759">
        <v>189.19999999999899</v>
      </c>
      <c r="K759">
        <f>Table1[[#This Row],[Liters_Sold]]</f>
        <v>946</v>
      </c>
      <c r="L759">
        <f>Table1[[#This Row],[Delivery volume]]*0.05</f>
        <v>47.300000000000004</v>
      </c>
      <c r="M759" s="16">
        <f>Table1[[#This Row],[Delivery Cost]]/Table1[[#This Row],[Revenue]]</f>
        <v>0.04</v>
      </c>
      <c r="N759" t="str">
        <f t="shared" si="11"/>
        <v>Jan</v>
      </c>
    </row>
    <row r="760" spans="1:14" x14ac:dyDescent="0.2">
      <c r="A760" s="1">
        <v>45342</v>
      </c>
      <c r="B760" t="s">
        <v>32</v>
      </c>
      <c r="C760" t="s">
        <v>17</v>
      </c>
      <c r="D760" t="s">
        <v>18</v>
      </c>
      <c r="E760">
        <v>4415</v>
      </c>
      <c r="F760">
        <v>1.2</v>
      </c>
      <c r="G760">
        <v>1</v>
      </c>
      <c r="H760">
        <v>5298</v>
      </c>
      <c r="I760">
        <v>4415</v>
      </c>
      <c r="J760">
        <v>883</v>
      </c>
      <c r="K760">
        <f>Table1[[#This Row],[Liters_Sold]]</f>
        <v>4415</v>
      </c>
      <c r="L760">
        <f>Table1[[#This Row],[Delivery volume]]*0.05</f>
        <v>220.75</v>
      </c>
      <c r="M760" s="16">
        <f>Table1[[#This Row],[Delivery Cost]]/Table1[[#This Row],[Revenue]]</f>
        <v>4.1666666666666664E-2</v>
      </c>
      <c r="N760" t="str">
        <f t="shared" si="11"/>
        <v>Feb</v>
      </c>
    </row>
    <row r="761" spans="1:14" x14ac:dyDescent="0.2">
      <c r="A761" s="1">
        <v>45464</v>
      </c>
      <c r="B761" t="s">
        <v>26</v>
      </c>
      <c r="C761" t="s">
        <v>23</v>
      </c>
      <c r="D761" t="s">
        <v>12</v>
      </c>
      <c r="E761">
        <v>3609</v>
      </c>
      <c r="F761">
        <v>1.25</v>
      </c>
      <c r="G761">
        <v>1.05</v>
      </c>
      <c r="H761">
        <v>4511.25</v>
      </c>
      <c r="I761">
        <v>3789.45</v>
      </c>
      <c r="J761">
        <v>721.79999999999905</v>
      </c>
      <c r="K761">
        <f>Table1[[#This Row],[Liters_Sold]]</f>
        <v>3609</v>
      </c>
      <c r="L761">
        <f>Table1[[#This Row],[Delivery volume]]*0.05</f>
        <v>180.45000000000002</v>
      </c>
      <c r="M761" s="16">
        <f>Table1[[#This Row],[Delivery Cost]]/Table1[[#This Row],[Revenue]]</f>
        <v>0.04</v>
      </c>
      <c r="N761" t="str">
        <f t="shared" si="11"/>
        <v>Jun</v>
      </c>
    </row>
    <row r="762" spans="1:14" x14ac:dyDescent="0.2">
      <c r="A762" s="1">
        <v>45496</v>
      </c>
      <c r="B762" t="s">
        <v>16</v>
      </c>
      <c r="C762" t="s">
        <v>20</v>
      </c>
      <c r="D762" t="s">
        <v>12</v>
      </c>
      <c r="E762">
        <v>1734</v>
      </c>
      <c r="F762">
        <v>1.25</v>
      </c>
      <c r="G762">
        <v>1.05</v>
      </c>
      <c r="H762">
        <v>2167.5</v>
      </c>
      <c r="I762">
        <v>1820.7</v>
      </c>
      <c r="J762">
        <v>346.79999999999899</v>
      </c>
      <c r="K762">
        <f>Table1[[#This Row],[Liters_Sold]]</f>
        <v>1734</v>
      </c>
      <c r="L762">
        <f>Table1[[#This Row],[Delivery volume]]*0.05</f>
        <v>86.7</v>
      </c>
      <c r="M762" s="16">
        <f>Table1[[#This Row],[Delivery Cost]]/Table1[[#This Row],[Revenue]]</f>
        <v>0.04</v>
      </c>
      <c r="N762" t="str">
        <f t="shared" si="11"/>
        <v>Jul</v>
      </c>
    </row>
    <row r="763" spans="1:14" x14ac:dyDescent="0.2">
      <c r="A763" s="1">
        <v>45551</v>
      </c>
      <c r="B763" t="s">
        <v>24</v>
      </c>
      <c r="C763" t="s">
        <v>20</v>
      </c>
      <c r="D763" t="s">
        <v>12</v>
      </c>
      <c r="E763">
        <v>5946</v>
      </c>
      <c r="F763">
        <v>1.25</v>
      </c>
      <c r="G763">
        <v>1.05</v>
      </c>
      <c r="H763">
        <v>7432.5</v>
      </c>
      <c r="I763">
        <v>6243.3</v>
      </c>
      <c r="J763">
        <v>1189.19999999999</v>
      </c>
      <c r="K763">
        <f>Table1[[#This Row],[Liters_Sold]]</f>
        <v>5946</v>
      </c>
      <c r="L763">
        <f>Table1[[#This Row],[Delivery volume]]*0.05</f>
        <v>297.3</v>
      </c>
      <c r="M763" s="16">
        <f>Table1[[#This Row],[Delivery Cost]]/Table1[[#This Row],[Revenue]]</f>
        <v>0.04</v>
      </c>
      <c r="N763" t="str">
        <f t="shared" si="11"/>
        <v>Sep</v>
      </c>
    </row>
    <row r="764" spans="1:14" x14ac:dyDescent="0.2">
      <c r="A764" s="1">
        <v>45579</v>
      </c>
      <c r="B764" t="s">
        <v>31</v>
      </c>
      <c r="C764" t="s">
        <v>23</v>
      </c>
      <c r="D764" t="s">
        <v>12</v>
      </c>
      <c r="E764">
        <v>726</v>
      </c>
      <c r="F764">
        <v>1.25</v>
      </c>
      <c r="G764">
        <v>1.05</v>
      </c>
      <c r="H764">
        <v>907.5</v>
      </c>
      <c r="I764">
        <v>762.3</v>
      </c>
      <c r="J764">
        <v>145.19999999999899</v>
      </c>
      <c r="K764">
        <f>Table1[[#This Row],[Liters_Sold]]</f>
        <v>726</v>
      </c>
      <c r="L764">
        <f>Table1[[#This Row],[Delivery volume]]*0.05</f>
        <v>36.300000000000004</v>
      </c>
      <c r="M764" s="16">
        <f>Table1[[#This Row],[Delivery Cost]]/Table1[[#This Row],[Revenue]]</f>
        <v>4.0000000000000008E-2</v>
      </c>
      <c r="N764" t="str">
        <f t="shared" si="11"/>
        <v>Oct</v>
      </c>
    </row>
    <row r="765" spans="1:14" x14ac:dyDescent="0.2">
      <c r="A765" s="1">
        <v>45325</v>
      </c>
      <c r="B765" t="s">
        <v>26</v>
      </c>
      <c r="C765" t="s">
        <v>23</v>
      </c>
      <c r="D765" t="s">
        <v>12</v>
      </c>
      <c r="E765">
        <v>4643</v>
      </c>
      <c r="F765">
        <v>1.25</v>
      </c>
      <c r="G765">
        <v>1.05</v>
      </c>
      <c r="H765">
        <v>5803.75</v>
      </c>
      <c r="I765">
        <v>4875.1499999999996</v>
      </c>
      <c r="J765">
        <v>928.599999999999</v>
      </c>
      <c r="K765">
        <f>Table1[[#This Row],[Liters_Sold]]</f>
        <v>4643</v>
      </c>
      <c r="L765">
        <f>Table1[[#This Row],[Delivery volume]]*0.05</f>
        <v>232.15</v>
      </c>
      <c r="M765" s="16">
        <f>Table1[[#This Row],[Delivery Cost]]/Table1[[#This Row],[Revenue]]</f>
        <v>0.04</v>
      </c>
      <c r="N765" t="str">
        <f t="shared" si="11"/>
        <v>Feb</v>
      </c>
    </row>
    <row r="766" spans="1:14" x14ac:dyDescent="0.2">
      <c r="A766" s="1">
        <v>45639</v>
      </c>
      <c r="B766" t="s">
        <v>31</v>
      </c>
      <c r="C766" t="s">
        <v>23</v>
      </c>
      <c r="D766" t="s">
        <v>12</v>
      </c>
      <c r="E766">
        <v>3459</v>
      </c>
      <c r="F766">
        <v>1.25</v>
      </c>
      <c r="G766">
        <v>1.05</v>
      </c>
      <c r="H766">
        <v>4323.75</v>
      </c>
      <c r="I766">
        <v>3631.95</v>
      </c>
      <c r="J766">
        <v>691.79999999999905</v>
      </c>
      <c r="K766">
        <f>Table1[[#This Row],[Liters_Sold]]</f>
        <v>3459</v>
      </c>
      <c r="L766">
        <f>Table1[[#This Row],[Delivery volume]]*0.05</f>
        <v>172.95000000000002</v>
      </c>
      <c r="M766" s="16">
        <f>Table1[[#This Row],[Delivery Cost]]/Table1[[#This Row],[Revenue]]</f>
        <v>0.04</v>
      </c>
      <c r="N766" t="str">
        <f t="shared" si="11"/>
        <v>Dec</v>
      </c>
    </row>
    <row r="767" spans="1:14" x14ac:dyDescent="0.2">
      <c r="A767" s="1">
        <v>45386</v>
      </c>
      <c r="B767" t="s">
        <v>21</v>
      </c>
      <c r="C767" t="s">
        <v>29</v>
      </c>
      <c r="D767" t="s">
        <v>18</v>
      </c>
      <c r="E767">
        <v>2330</v>
      </c>
      <c r="F767">
        <v>1.2</v>
      </c>
      <c r="G767">
        <v>1</v>
      </c>
      <c r="H767">
        <v>2796</v>
      </c>
      <c r="I767">
        <v>2330</v>
      </c>
      <c r="J767">
        <v>466</v>
      </c>
      <c r="K767">
        <f>Table1[[#This Row],[Liters_Sold]]</f>
        <v>2330</v>
      </c>
      <c r="L767">
        <f>Table1[[#This Row],[Delivery volume]]*0.05</f>
        <v>116.5</v>
      </c>
      <c r="M767" s="16">
        <f>Table1[[#This Row],[Delivery Cost]]/Table1[[#This Row],[Revenue]]</f>
        <v>4.1666666666666664E-2</v>
      </c>
      <c r="N767" t="str">
        <f t="shared" si="11"/>
        <v>Apr</v>
      </c>
    </row>
    <row r="768" spans="1:14" x14ac:dyDescent="0.2">
      <c r="A768" s="1">
        <v>45363</v>
      </c>
      <c r="B768" t="s">
        <v>26</v>
      </c>
      <c r="C768" t="s">
        <v>29</v>
      </c>
      <c r="D768" t="s">
        <v>14</v>
      </c>
      <c r="E768">
        <v>4279</v>
      </c>
      <c r="F768">
        <v>0.9</v>
      </c>
      <c r="G768">
        <v>0.7</v>
      </c>
      <c r="H768">
        <v>3851.1</v>
      </c>
      <c r="I768">
        <v>2995.2999999999902</v>
      </c>
      <c r="J768">
        <v>855.8</v>
      </c>
      <c r="K768">
        <f>Table1[[#This Row],[Liters_Sold]]</f>
        <v>4279</v>
      </c>
      <c r="L768">
        <f>Table1[[#This Row],[Delivery volume]]*0.05</f>
        <v>213.95000000000002</v>
      </c>
      <c r="M768" s="16">
        <f>Table1[[#This Row],[Delivery Cost]]/Table1[[#This Row],[Revenue]]</f>
        <v>5.5555555555555559E-2</v>
      </c>
      <c r="N768" t="str">
        <f t="shared" si="11"/>
        <v>Mar</v>
      </c>
    </row>
    <row r="769" spans="1:14" x14ac:dyDescent="0.2">
      <c r="A769" s="1">
        <v>45330</v>
      </c>
      <c r="B769" t="s">
        <v>19</v>
      </c>
      <c r="C769" t="s">
        <v>29</v>
      </c>
      <c r="D769" t="s">
        <v>18</v>
      </c>
      <c r="E769">
        <v>686</v>
      </c>
      <c r="F769">
        <v>1.2</v>
      </c>
      <c r="G769">
        <v>1</v>
      </c>
      <c r="H769">
        <v>823.19999999999902</v>
      </c>
      <c r="I769">
        <v>686</v>
      </c>
      <c r="J769">
        <v>137.19999999999899</v>
      </c>
      <c r="K769">
        <f>Table1[[#This Row],[Liters_Sold]]</f>
        <v>686</v>
      </c>
      <c r="L769">
        <f>Table1[[#This Row],[Delivery volume]]*0.05</f>
        <v>34.300000000000004</v>
      </c>
      <c r="M769" s="16">
        <f>Table1[[#This Row],[Delivery Cost]]/Table1[[#This Row],[Revenue]]</f>
        <v>4.166666666666672E-2</v>
      </c>
      <c r="N769" t="str">
        <f t="shared" si="11"/>
        <v>Feb</v>
      </c>
    </row>
    <row r="770" spans="1:14" x14ac:dyDescent="0.2">
      <c r="A770" s="1">
        <v>45445</v>
      </c>
      <c r="B770" t="s">
        <v>25</v>
      </c>
      <c r="C770" t="s">
        <v>11</v>
      </c>
      <c r="D770" t="s">
        <v>14</v>
      </c>
      <c r="E770">
        <v>3377</v>
      </c>
      <c r="F770">
        <v>0.9</v>
      </c>
      <c r="G770">
        <v>0.7</v>
      </c>
      <c r="H770">
        <v>3039.3</v>
      </c>
      <c r="I770">
        <v>2363.8999999999901</v>
      </c>
      <c r="J770">
        <v>675.4</v>
      </c>
      <c r="K770">
        <f>Table1[[#This Row],[Liters_Sold]]</f>
        <v>3377</v>
      </c>
      <c r="L770">
        <f>Table1[[#This Row],[Delivery volume]]*0.05</f>
        <v>168.85000000000002</v>
      </c>
      <c r="M770" s="16">
        <f>Table1[[#This Row],[Delivery Cost]]/Table1[[#This Row],[Revenue]]</f>
        <v>5.5555555555555559E-2</v>
      </c>
      <c r="N770" t="str">
        <f t="shared" ref="N770:N833" si="12">TEXT(A770,"mmm")</f>
        <v>Jun</v>
      </c>
    </row>
    <row r="771" spans="1:14" x14ac:dyDescent="0.2">
      <c r="A771" s="1">
        <v>45541</v>
      </c>
      <c r="B771" t="s">
        <v>22</v>
      </c>
      <c r="C771" t="s">
        <v>20</v>
      </c>
      <c r="D771" t="s">
        <v>12</v>
      </c>
      <c r="E771">
        <v>3035</v>
      </c>
      <c r="F771">
        <v>1.25</v>
      </c>
      <c r="G771">
        <v>1.05</v>
      </c>
      <c r="H771">
        <v>3793.75</v>
      </c>
      <c r="I771">
        <v>3186.75</v>
      </c>
      <c r="J771">
        <v>607</v>
      </c>
      <c r="K771">
        <f>Table1[[#This Row],[Liters_Sold]]</f>
        <v>3035</v>
      </c>
      <c r="L771">
        <f>Table1[[#This Row],[Delivery volume]]*0.05</f>
        <v>151.75</v>
      </c>
      <c r="M771" s="16">
        <f>Table1[[#This Row],[Delivery Cost]]/Table1[[#This Row],[Revenue]]</f>
        <v>0.04</v>
      </c>
      <c r="N771" t="str">
        <f t="shared" si="12"/>
        <v>Sep</v>
      </c>
    </row>
    <row r="772" spans="1:14" x14ac:dyDescent="0.2">
      <c r="A772" s="1">
        <v>45453</v>
      </c>
      <c r="B772" t="s">
        <v>27</v>
      </c>
      <c r="C772" t="s">
        <v>20</v>
      </c>
      <c r="D772" t="s">
        <v>14</v>
      </c>
      <c r="E772">
        <v>2432</v>
      </c>
      <c r="F772">
        <v>0.9</v>
      </c>
      <c r="G772">
        <v>0.7</v>
      </c>
      <c r="H772">
        <v>2188.8000000000002</v>
      </c>
      <c r="I772">
        <v>1702.3999999999901</v>
      </c>
      <c r="J772">
        <v>486.4</v>
      </c>
      <c r="K772">
        <f>Table1[[#This Row],[Liters_Sold]]</f>
        <v>2432</v>
      </c>
      <c r="L772">
        <f>Table1[[#This Row],[Delivery volume]]*0.05</f>
        <v>121.60000000000001</v>
      </c>
      <c r="M772" s="16">
        <f>Table1[[#This Row],[Delivery Cost]]/Table1[[#This Row],[Revenue]]</f>
        <v>5.5555555555555552E-2</v>
      </c>
      <c r="N772" t="str">
        <f t="shared" si="12"/>
        <v>Jun</v>
      </c>
    </row>
    <row r="773" spans="1:14" x14ac:dyDescent="0.2">
      <c r="A773" s="1">
        <v>45409</v>
      </c>
      <c r="B773" t="s">
        <v>27</v>
      </c>
      <c r="C773" t="s">
        <v>17</v>
      </c>
      <c r="D773" t="s">
        <v>12</v>
      </c>
      <c r="E773">
        <v>3424</v>
      </c>
      <c r="F773">
        <v>1.25</v>
      </c>
      <c r="G773">
        <v>1.05</v>
      </c>
      <c r="H773">
        <v>4280</v>
      </c>
      <c r="I773">
        <v>3595.2</v>
      </c>
      <c r="J773">
        <v>684.79999999999905</v>
      </c>
      <c r="K773">
        <f>Table1[[#This Row],[Liters_Sold]]</f>
        <v>3424</v>
      </c>
      <c r="L773">
        <f>Table1[[#This Row],[Delivery volume]]*0.05</f>
        <v>171.20000000000002</v>
      </c>
      <c r="M773" s="16">
        <f>Table1[[#This Row],[Delivery Cost]]/Table1[[#This Row],[Revenue]]</f>
        <v>0.04</v>
      </c>
      <c r="N773" t="str">
        <f t="shared" si="12"/>
        <v>Apr</v>
      </c>
    </row>
    <row r="774" spans="1:14" x14ac:dyDescent="0.2">
      <c r="A774" s="1">
        <v>45550</v>
      </c>
      <c r="B774" t="s">
        <v>22</v>
      </c>
      <c r="C774" t="s">
        <v>29</v>
      </c>
      <c r="D774" t="s">
        <v>14</v>
      </c>
      <c r="E774">
        <v>1348</v>
      </c>
      <c r="F774">
        <v>0.9</v>
      </c>
      <c r="G774">
        <v>0.7</v>
      </c>
      <c r="H774">
        <v>1213.2</v>
      </c>
      <c r="I774">
        <v>943.599999999999</v>
      </c>
      <c r="J774">
        <v>269.60000000000002</v>
      </c>
      <c r="K774">
        <f>Table1[[#This Row],[Liters_Sold]]</f>
        <v>1348</v>
      </c>
      <c r="L774">
        <f>Table1[[#This Row],[Delivery volume]]*0.05</f>
        <v>67.400000000000006</v>
      </c>
      <c r="M774" s="16">
        <f>Table1[[#This Row],[Delivery Cost]]/Table1[[#This Row],[Revenue]]</f>
        <v>5.5555555555555559E-2</v>
      </c>
      <c r="N774" t="str">
        <f t="shared" si="12"/>
        <v>Sep</v>
      </c>
    </row>
    <row r="775" spans="1:14" x14ac:dyDescent="0.2">
      <c r="A775" s="1">
        <v>45597</v>
      </c>
      <c r="B775" t="s">
        <v>10</v>
      </c>
      <c r="C775" t="s">
        <v>11</v>
      </c>
      <c r="D775" t="s">
        <v>14</v>
      </c>
      <c r="E775">
        <v>2532</v>
      </c>
      <c r="F775">
        <v>0.9</v>
      </c>
      <c r="G775">
        <v>0.7</v>
      </c>
      <c r="H775">
        <v>2278.8000000000002</v>
      </c>
      <c r="I775">
        <v>1772.3999999999901</v>
      </c>
      <c r="J775">
        <v>506.4</v>
      </c>
      <c r="K775">
        <f>Table1[[#This Row],[Liters_Sold]]</f>
        <v>2532</v>
      </c>
      <c r="L775">
        <f>Table1[[#This Row],[Delivery volume]]*0.05</f>
        <v>126.60000000000001</v>
      </c>
      <c r="M775" s="16">
        <f>Table1[[#This Row],[Delivery Cost]]/Table1[[#This Row],[Revenue]]</f>
        <v>5.5555555555555552E-2</v>
      </c>
      <c r="N775" t="str">
        <f t="shared" si="12"/>
        <v>Nov</v>
      </c>
    </row>
    <row r="776" spans="1:14" x14ac:dyDescent="0.2">
      <c r="A776" s="1">
        <v>45559</v>
      </c>
      <c r="B776" t="s">
        <v>28</v>
      </c>
      <c r="C776" t="s">
        <v>11</v>
      </c>
      <c r="D776" t="s">
        <v>18</v>
      </c>
      <c r="E776">
        <v>1752</v>
      </c>
      <c r="F776">
        <v>1.2</v>
      </c>
      <c r="G776">
        <v>1</v>
      </c>
      <c r="H776">
        <v>2102.4</v>
      </c>
      <c r="I776">
        <v>1752</v>
      </c>
      <c r="J776">
        <v>350.4</v>
      </c>
      <c r="K776">
        <f>Table1[[#This Row],[Liters_Sold]]</f>
        <v>1752</v>
      </c>
      <c r="L776">
        <f>Table1[[#This Row],[Delivery volume]]*0.05</f>
        <v>87.600000000000009</v>
      </c>
      <c r="M776" s="16">
        <f>Table1[[#This Row],[Delivery Cost]]/Table1[[#This Row],[Revenue]]</f>
        <v>4.1666666666666671E-2</v>
      </c>
      <c r="N776" t="str">
        <f t="shared" si="12"/>
        <v>Sep</v>
      </c>
    </row>
    <row r="777" spans="1:14" x14ac:dyDescent="0.2">
      <c r="A777" s="1">
        <v>45345</v>
      </c>
      <c r="B777" t="s">
        <v>21</v>
      </c>
      <c r="C777" t="s">
        <v>20</v>
      </c>
      <c r="D777" t="s">
        <v>14</v>
      </c>
      <c r="E777">
        <v>5574</v>
      </c>
      <c r="F777">
        <v>0.9</v>
      </c>
      <c r="G777">
        <v>0.7</v>
      </c>
      <c r="H777">
        <v>5016.6000000000004</v>
      </c>
      <c r="I777">
        <v>3901.7999999999902</v>
      </c>
      <c r="J777">
        <v>1114.8</v>
      </c>
      <c r="K777">
        <f>Table1[[#This Row],[Liters_Sold]]</f>
        <v>5574</v>
      </c>
      <c r="L777">
        <f>Table1[[#This Row],[Delivery volume]]*0.05</f>
        <v>278.7</v>
      </c>
      <c r="M777" s="16">
        <f>Table1[[#This Row],[Delivery Cost]]/Table1[[#This Row],[Revenue]]</f>
        <v>5.5555555555555552E-2</v>
      </c>
      <c r="N777" t="str">
        <f t="shared" si="12"/>
        <v>Feb</v>
      </c>
    </row>
    <row r="778" spans="1:14" x14ac:dyDescent="0.2">
      <c r="A778" s="1">
        <v>45527</v>
      </c>
      <c r="B778" t="s">
        <v>31</v>
      </c>
      <c r="C778" t="s">
        <v>29</v>
      </c>
      <c r="D778" t="s">
        <v>18</v>
      </c>
      <c r="E778">
        <v>5612</v>
      </c>
      <c r="F778">
        <v>1.2</v>
      </c>
      <c r="G778">
        <v>1</v>
      </c>
      <c r="H778">
        <v>6734.4</v>
      </c>
      <c r="I778">
        <v>5612</v>
      </c>
      <c r="J778">
        <v>1122.3999999999901</v>
      </c>
      <c r="K778">
        <f>Table1[[#This Row],[Liters_Sold]]</f>
        <v>5612</v>
      </c>
      <c r="L778">
        <f>Table1[[#This Row],[Delivery volume]]*0.05</f>
        <v>280.60000000000002</v>
      </c>
      <c r="M778" s="16">
        <f>Table1[[#This Row],[Delivery Cost]]/Table1[[#This Row],[Revenue]]</f>
        <v>4.1666666666666671E-2</v>
      </c>
      <c r="N778" t="str">
        <f t="shared" si="12"/>
        <v>Aug</v>
      </c>
    </row>
    <row r="779" spans="1:14" x14ac:dyDescent="0.2">
      <c r="A779" s="1">
        <v>45513</v>
      </c>
      <c r="B779" t="s">
        <v>19</v>
      </c>
      <c r="C779" t="s">
        <v>17</v>
      </c>
      <c r="D779" t="s">
        <v>12</v>
      </c>
      <c r="E779">
        <v>2381</v>
      </c>
      <c r="F779">
        <v>1.25</v>
      </c>
      <c r="G779">
        <v>1.05</v>
      </c>
      <c r="H779">
        <v>2976.25</v>
      </c>
      <c r="I779">
        <v>2500.0500000000002</v>
      </c>
      <c r="J779">
        <v>476.19999999999902</v>
      </c>
      <c r="K779">
        <f>Table1[[#This Row],[Liters_Sold]]</f>
        <v>2381</v>
      </c>
      <c r="L779">
        <f>Table1[[#This Row],[Delivery volume]]*0.05</f>
        <v>119.05000000000001</v>
      </c>
      <c r="M779" s="16">
        <f>Table1[[#This Row],[Delivery Cost]]/Table1[[#This Row],[Revenue]]</f>
        <v>0.04</v>
      </c>
      <c r="N779" t="str">
        <f t="shared" si="12"/>
        <v>Aug</v>
      </c>
    </row>
    <row r="780" spans="1:14" x14ac:dyDescent="0.2">
      <c r="A780" s="1">
        <v>45542</v>
      </c>
      <c r="B780" t="s">
        <v>13</v>
      </c>
      <c r="C780" t="s">
        <v>29</v>
      </c>
      <c r="D780" t="s">
        <v>12</v>
      </c>
      <c r="E780">
        <v>769</v>
      </c>
      <c r="F780">
        <v>1.25</v>
      </c>
      <c r="G780">
        <v>1.05</v>
      </c>
      <c r="H780">
        <v>961.25</v>
      </c>
      <c r="I780">
        <v>807.45</v>
      </c>
      <c r="J780">
        <v>153.79999999999899</v>
      </c>
      <c r="K780">
        <f>Table1[[#This Row],[Liters_Sold]]</f>
        <v>769</v>
      </c>
      <c r="L780">
        <f>Table1[[#This Row],[Delivery volume]]*0.05</f>
        <v>38.450000000000003</v>
      </c>
      <c r="M780" s="16">
        <f>Table1[[#This Row],[Delivery Cost]]/Table1[[#This Row],[Revenue]]</f>
        <v>0.04</v>
      </c>
      <c r="N780" t="str">
        <f t="shared" si="12"/>
        <v>Sep</v>
      </c>
    </row>
    <row r="781" spans="1:14" x14ac:dyDescent="0.2">
      <c r="A781" s="1">
        <v>45604</v>
      </c>
      <c r="B781" t="s">
        <v>26</v>
      </c>
      <c r="C781" t="s">
        <v>23</v>
      </c>
      <c r="D781" t="s">
        <v>18</v>
      </c>
      <c r="E781">
        <v>2130</v>
      </c>
      <c r="F781">
        <v>1.2</v>
      </c>
      <c r="G781">
        <v>1</v>
      </c>
      <c r="H781">
        <v>2556</v>
      </c>
      <c r="I781">
        <v>2130</v>
      </c>
      <c r="J781">
        <v>426</v>
      </c>
      <c r="K781">
        <f>Table1[[#This Row],[Liters_Sold]]</f>
        <v>2130</v>
      </c>
      <c r="L781">
        <f>Table1[[#This Row],[Delivery volume]]*0.05</f>
        <v>106.5</v>
      </c>
      <c r="M781" s="16">
        <f>Table1[[#This Row],[Delivery Cost]]/Table1[[#This Row],[Revenue]]</f>
        <v>4.1666666666666664E-2</v>
      </c>
      <c r="N781" t="str">
        <f t="shared" si="12"/>
        <v>Nov</v>
      </c>
    </row>
    <row r="782" spans="1:14" x14ac:dyDescent="0.2">
      <c r="A782" s="1">
        <v>45403</v>
      </c>
      <c r="B782" t="s">
        <v>21</v>
      </c>
      <c r="C782" t="s">
        <v>29</v>
      </c>
      <c r="D782" t="s">
        <v>12</v>
      </c>
      <c r="E782">
        <v>4905</v>
      </c>
      <c r="F782">
        <v>1.25</v>
      </c>
      <c r="G782">
        <v>1.05</v>
      </c>
      <c r="H782">
        <v>6131.25</v>
      </c>
      <c r="I782">
        <v>5150.25</v>
      </c>
      <c r="J782">
        <v>981</v>
      </c>
      <c r="K782">
        <f>Table1[[#This Row],[Liters_Sold]]</f>
        <v>4905</v>
      </c>
      <c r="L782">
        <f>Table1[[#This Row],[Delivery volume]]*0.05</f>
        <v>245.25</v>
      </c>
      <c r="M782" s="16">
        <f>Table1[[#This Row],[Delivery Cost]]/Table1[[#This Row],[Revenue]]</f>
        <v>0.04</v>
      </c>
      <c r="N782" t="str">
        <f t="shared" si="12"/>
        <v>Apr</v>
      </c>
    </row>
    <row r="783" spans="1:14" x14ac:dyDescent="0.2">
      <c r="A783" s="1">
        <v>45546</v>
      </c>
      <c r="B783" t="s">
        <v>15</v>
      </c>
      <c r="C783" t="s">
        <v>23</v>
      </c>
      <c r="D783" t="s">
        <v>18</v>
      </c>
      <c r="E783">
        <v>3703</v>
      </c>
      <c r="F783">
        <v>1.2</v>
      </c>
      <c r="G783">
        <v>1</v>
      </c>
      <c r="H783">
        <v>4443.5999999999904</v>
      </c>
      <c r="I783">
        <v>3703</v>
      </c>
      <c r="J783">
        <v>740.599999999999</v>
      </c>
      <c r="K783">
        <f>Table1[[#This Row],[Liters_Sold]]</f>
        <v>3703</v>
      </c>
      <c r="L783">
        <f>Table1[[#This Row],[Delivery volume]]*0.05</f>
        <v>185.15</v>
      </c>
      <c r="M783" s="16">
        <f>Table1[[#This Row],[Delivery Cost]]/Table1[[#This Row],[Revenue]]</f>
        <v>4.1666666666666761E-2</v>
      </c>
      <c r="N783" t="str">
        <f t="shared" si="12"/>
        <v>Sep</v>
      </c>
    </row>
    <row r="784" spans="1:14" x14ac:dyDescent="0.2">
      <c r="A784" s="1">
        <v>45594</v>
      </c>
      <c r="B784" t="s">
        <v>16</v>
      </c>
      <c r="C784" t="s">
        <v>23</v>
      </c>
      <c r="D784" t="s">
        <v>14</v>
      </c>
      <c r="E784">
        <v>2074</v>
      </c>
      <c r="F784">
        <v>0.9</v>
      </c>
      <c r="G784">
        <v>0.7</v>
      </c>
      <c r="H784">
        <v>1866.6</v>
      </c>
      <c r="I784">
        <v>1451.8</v>
      </c>
      <c r="J784">
        <v>414.8</v>
      </c>
      <c r="K784">
        <f>Table1[[#This Row],[Liters_Sold]]</f>
        <v>2074</v>
      </c>
      <c r="L784">
        <f>Table1[[#This Row],[Delivery volume]]*0.05</f>
        <v>103.7</v>
      </c>
      <c r="M784" s="16">
        <f>Table1[[#This Row],[Delivery Cost]]/Table1[[#This Row],[Revenue]]</f>
        <v>5.5555555555555559E-2</v>
      </c>
      <c r="N784" t="str">
        <f t="shared" si="12"/>
        <v>Oct</v>
      </c>
    </row>
    <row r="785" spans="1:14" x14ac:dyDescent="0.2">
      <c r="A785" s="1">
        <v>45498</v>
      </c>
      <c r="B785" t="s">
        <v>26</v>
      </c>
      <c r="C785" t="s">
        <v>17</v>
      </c>
      <c r="D785" t="s">
        <v>12</v>
      </c>
      <c r="E785">
        <v>5691</v>
      </c>
      <c r="F785">
        <v>1.25</v>
      </c>
      <c r="G785">
        <v>1.05</v>
      </c>
      <c r="H785">
        <v>7113.75</v>
      </c>
      <c r="I785">
        <v>5975.55</v>
      </c>
      <c r="J785">
        <v>1138.19999999999</v>
      </c>
      <c r="K785">
        <f>Table1[[#This Row],[Liters_Sold]]</f>
        <v>5691</v>
      </c>
      <c r="L785">
        <f>Table1[[#This Row],[Delivery volume]]*0.05</f>
        <v>284.55</v>
      </c>
      <c r="M785" s="16">
        <f>Table1[[#This Row],[Delivery Cost]]/Table1[[#This Row],[Revenue]]</f>
        <v>0.04</v>
      </c>
      <c r="N785" t="str">
        <f t="shared" si="12"/>
        <v>Jul</v>
      </c>
    </row>
    <row r="786" spans="1:14" x14ac:dyDescent="0.2">
      <c r="A786" s="1">
        <v>45520</v>
      </c>
      <c r="B786" t="s">
        <v>19</v>
      </c>
      <c r="C786" t="s">
        <v>20</v>
      </c>
      <c r="D786" t="s">
        <v>18</v>
      </c>
      <c r="E786">
        <v>3392</v>
      </c>
      <c r="F786">
        <v>1.2</v>
      </c>
      <c r="G786">
        <v>1</v>
      </c>
      <c r="H786">
        <v>4070.3999999999901</v>
      </c>
      <c r="I786">
        <v>3392</v>
      </c>
      <c r="J786">
        <v>678.39999999999895</v>
      </c>
      <c r="K786">
        <f>Table1[[#This Row],[Liters_Sold]]</f>
        <v>3392</v>
      </c>
      <c r="L786">
        <f>Table1[[#This Row],[Delivery volume]]*0.05</f>
        <v>169.60000000000002</v>
      </c>
      <c r="M786" s="16">
        <f>Table1[[#This Row],[Delivery Cost]]/Table1[[#This Row],[Revenue]]</f>
        <v>4.1666666666666775E-2</v>
      </c>
      <c r="N786" t="str">
        <f t="shared" si="12"/>
        <v>Aug</v>
      </c>
    </row>
    <row r="787" spans="1:14" x14ac:dyDescent="0.2">
      <c r="A787" s="1">
        <v>45632</v>
      </c>
      <c r="B787" t="s">
        <v>24</v>
      </c>
      <c r="C787" t="s">
        <v>29</v>
      </c>
      <c r="D787" t="s">
        <v>14</v>
      </c>
      <c r="E787">
        <v>2195</v>
      </c>
      <c r="F787">
        <v>0.9</v>
      </c>
      <c r="G787">
        <v>0.7</v>
      </c>
      <c r="H787">
        <v>1975.5</v>
      </c>
      <c r="I787">
        <v>1536.5</v>
      </c>
      <c r="J787">
        <v>439</v>
      </c>
      <c r="K787">
        <f>Table1[[#This Row],[Liters_Sold]]</f>
        <v>2195</v>
      </c>
      <c r="L787">
        <f>Table1[[#This Row],[Delivery volume]]*0.05</f>
        <v>109.75</v>
      </c>
      <c r="M787" s="16">
        <f>Table1[[#This Row],[Delivery Cost]]/Table1[[#This Row],[Revenue]]</f>
        <v>5.5555555555555552E-2</v>
      </c>
      <c r="N787" t="str">
        <f t="shared" si="12"/>
        <v>Dec</v>
      </c>
    </row>
    <row r="788" spans="1:14" x14ac:dyDescent="0.2">
      <c r="A788" s="1">
        <v>45357</v>
      </c>
      <c r="B788" t="s">
        <v>24</v>
      </c>
      <c r="C788" t="s">
        <v>23</v>
      </c>
      <c r="D788" t="s">
        <v>14</v>
      </c>
      <c r="E788">
        <v>3758</v>
      </c>
      <c r="F788">
        <v>0.9</v>
      </c>
      <c r="G788">
        <v>0.7</v>
      </c>
      <c r="H788">
        <v>3382.2</v>
      </c>
      <c r="I788">
        <v>2630.6</v>
      </c>
      <c r="J788">
        <v>751.6</v>
      </c>
      <c r="K788">
        <f>Table1[[#This Row],[Liters_Sold]]</f>
        <v>3758</v>
      </c>
      <c r="L788">
        <f>Table1[[#This Row],[Delivery volume]]*0.05</f>
        <v>187.9</v>
      </c>
      <c r="M788" s="16">
        <f>Table1[[#This Row],[Delivery Cost]]/Table1[[#This Row],[Revenue]]</f>
        <v>5.5555555555555559E-2</v>
      </c>
      <c r="N788" t="str">
        <f t="shared" si="12"/>
        <v>Mar</v>
      </c>
    </row>
    <row r="789" spans="1:14" x14ac:dyDescent="0.2">
      <c r="A789" s="1">
        <v>45366</v>
      </c>
      <c r="B789" t="s">
        <v>32</v>
      </c>
      <c r="C789" t="s">
        <v>29</v>
      </c>
      <c r="D789" t="s">
        <v>14</v>
      </c>
      <c r="E789">
        <v>3762</v>
      </c>
      <c r="F789">
        <v>0.9</v>
      </c>
      <c r="G789">
        <v>0.7</v>
      </c>
      <c r="H789">
        <v>3385.8</v>
      </c>
      <c r="I789">
        <v>2633.3999999999901</v>
      </c>
      <c r="J789">
        <v>752.4</v>
      </c>
      <c r="K789">
        <f>Table1[[#This Row],[Liters_Sold]]</f>
        <v>3762</v>
      </c>
      <c r="L789">
        <f>Table1[[#This Row],[Delivery volume]]*0.05</f>
        <v>188.10000000000002</v>
      </c>
      <c r="M789" s="16">
        <f>Table1[[#This Row],[Delivery Cost]]/Table1[[#This Row],[Revenue]]</f>
        <v>5.5555555555555559E-2</v>
      </c>
      <c r="N789" t="str">
        <f t="shared" si="12"/>
        <v>Mar</v>
      </c>
    </row>
    <row r="790" spans="1:14" x14ac:dyDescent="0.2">
      <c r="A790" s="1">
        <v>45394</v>
      </c>
      <c r="B790" t="s">
        <v>21</v>
      </c>
      <c r="C790" t="s">
        <v>20</v>
      </c>
      <c r="D790" t="s">
        <v>18</v>
      </c>
      <c r="E790">
        <v>1945</v>
      </c>
      <c r="F790">
        <v>1.2</v>
      </c>
      <c r="G790">
        <v>1</v>
      </c>
      <c r="H790">
        <v>2334</v>
      </c>
      <c r="I790">
        <v>1945</v>
      </c>
      <c r="J790">
        <v>389</v>
      </c>
      <c r="K790">
        <f>Table1[[#This Row],[Liters_Sold]]</f>
        <v>1945</v>
      </c>
      <c r="L790">
        <f>Table1[[#This Row],[Delivery volume]]*0.05</f>
        <v>97.25</v>
      </c>
      <c r="M790" s="16">
        <f>Table1[[#This Row],[Delivery Cost]]/Table1[[#This Row],[Revenue]]</f>
        <v>4.1666666666666664E-2</v>
      </c>
      <c r="N790" t="str">
        <f t="shared" si="12"/>
        <v>Apr</v>
      </c>
    </row>
    <row r="791" spans="1:14" x14ac:dyDescent="0.2">
      <c r="A791" s="1">
        <v>45483</v>
      </c>
      <c r="B791" t="s">
        <v>25</v>
      </c>
      <c r="C791" t="s">
        <v>20</v>
      </c>
      <c r="D791" t="s">
        <v>14</v>
      </c>
      <c r="E791">
        <v>719</v>
      </c>
      <c r="F791">
        <v>0.9</v>
      </c>
      <c r="G791">
        <v>0.7</v>
      </c>
      <c r="H791">
        <v>647.1</v>
      </c>
      <c r="I791">
        <v>503.29999999999899</v>
      </c>
      <c r="J791">
        <v>143.80000000000001</v>
      </c>
      <c r="K791">
        <f>Table1[[#This Row],[Liters_Sold]]</f>
        <v>719</v>
      </c>
      <c r="L791">
        <f>Table1[[#This Row],[Delivery volume]]*0.05</f>
        <v>35.950000000000003</v>
      </c>
      <c r="M791" s="16">
        <f>Table1[[#This Row],[Delivery Cost]]/Table1[[#This Row],[Revenue]]</f>
        <v>5.5555555555555559E-2</v>
      </c>
      <c r="N791" t="str">
        <f t="shared" si="12"/>
        <v>Jul</v>
      </c>
    </row>
    <row r="792" spans="1:14" x14ac:dyDescent="0.2">
      <c r="A792" s="1">
        <v>45543</v>
      </c>
      <c r="B792" t="s">
        <v>19</v>
      </c>
      <c r="C792" t="s">
        <v>11</v>
      </c>
      <c r="D792" t="s">
        <v>18</v>
      </c>
      <c r="E792">
        <v>552</v>
      </c>
      <c r="F792">
        <v>1.2</v>
      </c>
      <c r="G792">
        <v>1</v>
      </c>
      <c r="H792">
        <v>662.4</v>
      </c>
      <c r="I792">
        <v>552</v>
      </c>
      <c r="J792">
        <v>110.399999999999</v>
      </c>
      <c r="K792">
        <f>Table1[[#This Row],[Liters_Sold]]</f>
        <v>552</v>
      </c>
      <c r="L792">
        <f>Table1[[#This Row],[Delivery volume]]*0.05</f>
        <v>27.6</v>
      </c>
      <c r="M792" s="16">
        <f>Table1[[#This Row],[Delivery Cost]]/Table1[[#This Row],[Revenue]]</f>
        <v>4.1666666666666671E-2</v>
      </c>
      <c r="N792" t="str">
        <f t="shared" si="12"/>
        <v>Sep</v>
      </c>
    </row>
    <row r="793" spans="1:14" x14ac:dyDescent="0.2">
      <c r="A793" s="1">
        <v>45517</v>
      </c>
      <c r="B793" t="s">
        <v>19</v>
      </c>
      <c r="C793" t="s">
        <v>20</v>
      </c>
      <c r="D793" t="s">
        <v>12</v>
      </c>
      <c r="E793">
        <v>2257</v>
      </c>
      <c r="F793">
        <v>1.25</v>
      </c>
      <c r="G793">
        <v>1.05</v>
      </c>
      <c r="H793">
        <v>2821.25</v>
      </c>
      <c r="I793">
        <v>2369.85</v>
      </c>
      <c r="J793">
        <v>451.4</v>
      </c>
      <c r="K793">
        <f>Table1[[#This Row],[Liters_Sold]]</f>
        <v>2257</v>
      </c>
      <c r="L793">
        <f>Table1[[#This Row],[Delivery volume]]*0.05</f>
        <v>112.85000000000001</v>
      </c>
      <c r="M793" s="16">
        <f>Table1[[#This Row],[Delivery Cost]]/Table1[[#This Row],[Revenue]]</f>
        <v>0.04</v>
      </c>
      <c r="N793" t="str">
        <f t="shared" si="12"/>
        <v>Aug</v>
      </c>
    </row>
    <row r="794" spans="1:14" x14ac:dyDescent="0.2">
      <c r="A794" s="1">
        <v>45585</v>
      </c>
      <c r="B794" t="s">
        <v>22</v>
      </c>
      <c r="C794" t="s">
        <v>17</v>
      </c>
      <c r="D794" t="s">
        <v>12</v>
      </c>
      <c r="E794">
        <v>2166</v>
      </c>
      <c r="F794">
        <v>1.25</v>
      </c>
      <c r="G794">
        <v>1.05</v>
      </c>
      <c r="H794">
        <v>2707.5</v>
      </c>
      <c r="I794">
        <v>2274.3000000000002</v>
      </c>
      <c r="J794">
        <v>433.19999999999902</v>
      </c>
      <c r="K794">
        <f>Table1[[#This Row],[Liters_Sold]]</f>
        <v>2166</v>
      </c>
      <c r="L794">
        <f>Table1[[#This Row],[Delivery volume]]*0.05</f>
        <v>108.30000000000001</v>
      </c>
      <c r="M794" s="16">
        <f>Table1[[#This Row],[Delivery Cost]]/Table1[[#This Row],[Revenue]]</f>
        <v>0.04</v>
      </c>
      <c r="N794" t="str">
        <f t="shared" si="12"/>
        <v>Oct</v>
      </c>
    </row>
    <row r="795" spans="1:14" x14ac:dyDescent="0.2">
      <c r="A795" s="1">
        <v>45597</v>
      </c>
      <c r="B795" t="s">
        <v>15</v>
      </c>
      <c r="C795" t="s">
        <v>23</v>
      </c>
      <c r="D795" t="s">
        <v>18</v>
      </c>
      <c r="E795">
        <v>5856</v>
      </c>
      <c r="F795">
        <v>1.2</v>
      </c>
      <c r="G795">
        <v>1</v>
      </c>
      <c r="H795">
        <v>7027.2</v>
      </c>
      <c r="I795">
        <v>5856</v>
      </c>
      <c r="J795">
        <v>1171.19999999999</v>
      </c>
      <c r="K795">
        <f>Table1[[#This Row],[Liters_Sold]]</f>
        <v>5856</v>
      </c>
      <c r="L795">
        <f>Table1[[#This Row],[Delivery volume]]*0.05</f>
        <v>292.8</v>
      </c>
      <c r="M795" s="16">
        <f>Table1[[#This Row],[Delivery Cost]]/Table1[[#This Row],[Revenue]]</f>
        <v>4.1666666666666671E-2</v>
      </c>
      <c r="N795" t="str">
        <f t="shared" si="12"/>
        <v>Nov</v>
      </c>
    </row>
    <row r="796" spans="1:14" x14ac:dyDescent="0.2">
      <c r="A796" s="1">
        <v>45389</v>
      </c>
      <c r="B796" t="s">
        <v>25</v>
      </c>
      <c r="C796" t="s">
        <v>11</v>
      </c>
      <c r="D796" t="s">
        <v>12</v>
      </c>
      <c r="E796">
        <v>3285</v>
      </c>
      <c r="F796">
        <v>1.25</v>
      </c>
      <c r="G796">
        <v>1.05</v>
      </c>
      <c r="H796">
        <v>4106.25</v>
      </c>
      <c r="I796">
        <v>3449.25</v>
      </c>
      <c r="J796">
        <v>657</v>
      </c>
      <c r="K796">
        <f>Table1[[#This Row],[Liters_Sold]]</f>
        <v>3285</v>
      </c>
      <c r="L796">
        <f>Table1[[#This Row],[Delivery volume]]*0.05</f>
        <v>164.25</v>
      </c>
      <c r="M796" s="16">
        <f>Table1[[#This Row],[Delivery Cost]]/Table1[[#This Row],[Revenue]]</f>
        <v>0.04</v>
      </c>
      <c r="N796" t="str">
        <f t="shared" si="12"/>
        <v>Apr</v>
      </c>
    </row>
    <row r="797" spans="1:14" x14ac:dyDescent="0.2">
      <c r="A797" s="1">
        <v>45629</v>
      </c>
      <c r="B797" t="s">
        <v>15</v>
      </c>
      <c r="C797" t="s">
        <v>17</v>
      </c>
      <c r="D797" t="s">
        <v>18</v>
      </c>
      <c r="E797">
        <v>1219</v>
      </c>
      <c r="F797">
        <v>1.2</v>
      </c>
      <c r="G797">
        <v>1</v>
      </c>
      <c r="H797">
        <v>1462.8</v>
      </c>
      <c r="I797">
        <v>1219</v>
      </c>
      <c r="J797">
        <v>243.79999999999899</v>
      </c>
      <c r="K797">
        <f>Table1[[#This Row],[Liters_Sold]]</f>
        <v>1219</v>
      </c>
      <c r="L797">
        <f>Table1[[#This Row],[Delivery volume]]*0.05</f>
        <v>60.95</v>
      </c>
      <c r="M797" s="16">
        <f>Table1[[#This Row],[Delivery Cost]]/Table1[[#This Row],[Revenue]]</f>
        <v>4.1666666666666671E-2</v>
      </c>
      <c r="N797" t="str">
        <f t="shared" si="12"/>
        <v>Dec</v>
      </c>
    </row>
    <row r="798" spans="1:14" x14ac:dyDescent="0.2">
      <c r="A798" s="1">
        <v>45577</v>
      </c>
      <c r="B798" t="s">
        <v>10</v>
      </c>
      <c r="C798" t="s">
        <v>29</v>
      </c>
      <c r="D798" t="s">
        <v>18</v>
      </c>
      <c r="E798">
        <v>905</v>
      </c>
      <c r="F798">
        <v>1.2</v>
      </c>
      <c r="G798">
        <v>1</v>
      </c>
      <c r="H798">
        <v>1086</v>
      </c>
      <c r="I798">
        <v>905</v>
      </c>
      <c r="J798">
        <v>181</v>
      </c>
      <c r="K798">
        <f>Table1[[#This Row],[Liters_Sold]]</f>
        <v>905</v>
      </c>
      <c r="L798">
        <f>Table1[[#This Row],[Delivery volume]]*0.05</f>
        <v>45.25</v>
      </c>
      <c r="M798" s="16">
        <f>Table1[[#This Row],[Delivery Cost]]/Table1[[#This Row],[Revenue]]</f>
        <v>4.1666666666666664E-2</v>
      </c>
      <c r="N798" t="str">
        <f t="shared" si="12"/>
        <v>Oct</v>
      </c>
    </row>
    <row r="799" spans="1:14" x14ac:dyDescent="0.2">
      <c r="A799" s="1">
        <v>45626</v>
      </c>
      <c r="B799" t="s">
        <v>31</v>
      </c>
      <c r="C799" t="s">
        <v>23</v>
      </c>
      <c r="D799" t="s">
        <v>12</v>
      </c>
      <c r="E799">
        <v>2794</v>
      </c>
      <c r="F799">
        <v>1.25</v>
      </c>
      <c r="G799">
        <v>1.05</v>
      </c>
      <c r="H799">
        <v>3492.5</v>
      </c>
      <c r="I799">
        <v>2933.7</v>
      </c>
      <c r="J799">
        <v>558.79999999999905</v>
      </c>
      <c r="K799">
        <f>Table1[[#This Row],[Liters_Sold]]</f>
        <v>2794</v>
      </c>
      <c r="L799">
        <f>Table1[[#This Row],[Delivery volume]]*0.05</f>
        <v>139.70000000000002</v>
      </c>
      <c r="M799" s="16">
        <f>Table1[[#This Row],[Delivery Cost]]/Table1[[#This Row],[Revenue]]</f>
        <v>4.0000000000000008E-2</v>
      </c>
      <c r="N799" t="str">
        <f t="shared" si="12"/>
        <v>Nov</v>
      </c>
    </row>
    <row r="800" spans="1:14" x14ac:dyDescent="0.2">
      <c r="A800" s="1">
        <v>45638</v>
      </c>
      <c r="B800" t="s">
        <v>31</v>
      </c>
      <c r="C800" t="s">
        <v>20</v>
      </c>
      <c r="D800" t="s">
        <v>18</v>
      </c>
      <c r="E800">
        <v>571</v>
      </c>
      <c r="F800">
        <v>1.2</v>
      </c>
      <c r="G800">
        <v>1</v>
      </c>
      <c r="H800">
        <v>685.19999999999902</v>
      </c>
      <c r="I800">
        <v>571</v>
      </c>
      <c r="J800">
        <v>114.19999999999899</v>
      </c>
      <c r="K800">
        <f>Table1[[#This Row],[Liters_Sold]]</f>
        <v>571</v>
      </c>
      <c r="L800">
        <f>Table1[[#This Row],[Delivery volume]]*0.05</f>
        <v>28.55</v>
      </c>
      <c r="M800" s="16">
        <f>Table1[[#This Row],[Delivery Cost]]/Table1[[#This Row],[Revenue]]</f>
        <v>4.1666666666666727E-2</v>
      </c>
      <c r="N800" t="str">
        <f t="shared" si="12"/>
        <v>Dec</v>
      </c>
    </row>
    <row r="801" spans="1:14" x14ac:dyDescent="0.2">
      <c r="A801" s="1">
        <v>45599</v>
      </c>
      <c r="B801" t="s">
        <v>13</v>
      </c>
      <c r="C801" t="s">
        <v>23</v>
      </c>
      <c r="D801" t="s">
        <v>18</v>
      </c>
      <c r="E801">
        <v>2553</v>
      </c>
      <c r="F801">
        <v>1.2</v>
      </c>
      <c r="G801">
        <v>1</v>
      </c>
      <c r="H801">
        <v>3063.6</v>
      </c>
      <c r="I801">
        <v>2553</v>
      </c>
      <c r="J801">
        <v>510.599999999999</v>
      </c>
      <c r="K801">
        <f>Table1[[#This Row],[Liters_Sold]]</f>
        <v>2553</v>
      </c>
      <c r="L801">
        <f>Table1[[#This Row],[Delivery volume]]*0.05</f>
        <v>127.65</v>
      </c>
      <c r="M801" s="16">
        <f>Table1[[#This Row],[Delivery Cost]]/Table1[[#This Row],[Revenue]]</f>
        <v>4.1666666666666671E-2</v>
      </c>
      <c r="N801" t="str">
        <f t="shared" si="12"/>
        <v>Nov</v>
      </c>
    </row>
    <row r="802" spans="1:14" x14ac:dyDescent="0.2">
      <c r="A802" s="1">
        <v>45540</v>
      </c>
      <c r="B802" t="s">
        <v>32</v>
      </c>
      <c r="C802" t="s">
        <v>29</v>
      </c>
      <c r="D802" t="s">
        <v>12</v>
      </c>
      <c r="E802">
        <v>1729</v>
      </c>
      <c r="F802">
        <v>1.25</v>
      </c>
      <c r="G802">
        <v>1.05</v>
      </c>
      <c r="H802">
        <v>2161.25</v>
      </c>
      <c r="I802">
        <v>1815.45</v>
      </c>
      <c r="J802">
        <v>345.79999999999899</v>
      </c>
      <c r="K802">
        <f>Table1[[#This Row],[Liters_Sold]]</f>
        <v>1729</v>
      </c>
      <c r="L802">
        <f>Table1[[#This Row],[Delivery volume]]*0.05</f>
        <v>86.45</v>
      </c>
      <c r="M802" s="16">
        <f>Table1[[#This Row],[Delivery Cost]]/Table1[[#This Row],[Revenue]]</f>
        <v>0.04</v>
      </c>
      <c r="N802" t="str">
        <f t="shared" si="12"/>
        <v>Sep</v>
      </c>
    </row>
    <row r="803" spans="1:14" x14ac:dyDescent="0.2">
      <c r="A803" s="1">
        <v>45457</v>
      </c>
      <c r="B803" t="s">
        <v>27</v>
      </c>
      <c r="C803" t="s">
        <v>11</v>
      </c>
      <c r="D803" t="s">
        <v>12</v>
      </c>
      <c r="E803">
        <v>2067</v>
      </c>
      <c r="F803">
        <v>1.25</v>
      </c>
      <c r="G803">
        <v>1.05</v>
      </c>
      <c r="H803">
        <v>2583.75</v>
      </c>
      <c r="I803">
        <v>2170.35</v>
      </c>
      <c r="J803">
        <v>413.4</v>
      </c>
      <c r="K803">
        <f>Table1[[#This Row],[Liters_Sold]]</f>
        <v>2067</v>
      </c>
      <c r="L803">
        <f>Table1[[#This Row],[Delivery volume]]*0.05</f>
        <v>103.35000000000001</v>
      </c>
      <c r="M803" s="16">
        <f>Table1[[#This Row],[Delivery Cost]]/Table1[[#This Row],[Revenue]]</f>
        <v>0.04</v>
      </c>
      <c r="N803" t="str">
        <f t="shared" si="12"/>
        <v>Jun</v>
      </c>
    </row>
    <row r="804" spans="1:14" x14ac:dyDescent="0.2">
      <c r="A804" s="1">
        <v>45626</v>
      </c>
      <c r="B804" t="s">
        <v>24</v>
      </c>
      <c r="C804" t="s">
        <v>11</v>
      </c>
      <c r="D804" t="s">
        <v>12</v>
      </c>
      <c r="E804">
        <v>4182</v>
      </c>
      <c r="F804">
        <v>1.25</v>
      </c>
      <c r="G804">
        <v>1.05</v>
      </c>
      <c r="H804">
        <v>5227.5</v>
      </c>
      <c r="I804">
        <v>4391.1000000000004</v>
      </c>
      <c r="J804">
        <v>836.39999999999895</v>
      </c>
      <c r="K804">
        <f>Table1[[#This Row],[Liters_Sold]]</f>
        <v>4182</v>
      </c>
      <c r="L804">
        <f>Table1[[#This Row],[Delivery volume]]*0.05</f>
        <v>209.10000000000002</v>
      </c>
      <c r="M804" s="16">
        <f>Table1[[#This Row],[Delivery Cost]]/Table1[[#This Row],[Revenue]]</f>
        <v>4.0000000000000008E-2</v>
      </c>
      <c r="N804" t="str">
        <f t="shared" si="12"/>
        <v>Nov</v>
      </c>
    </row>
    <row r="805" spans="1:14" x14ac:dyDescent="0.2">
      <c r="A805" s="1">
        <v>45321</v>
      </c>
      <c r="B805" t="s">
        <v>16</v>
      </c>
      <c r="C805" t="s">
        <v>11</v>
      </c>
      <c r="D805" t="s">
        <v>12</v>
      </c>
      <c r="E805">
        <v>3453</v>
      </c>
      <c r="F805">
        <v>1.25</v>
      </c>
      <c r="G805">
        <v>1.05</v>
      </c>
      <c r="H805">
        <v>4316.25</v>
      </c>
      <c r="I805">
        <v>3625.65</v>
      </c>
      <c r="J805">
        <v>690.599999999999</v>
      </c>
      <c r="K805">
        <f>Table1[[#This Row],[Liters_Sold]]</f>
        <v>3453</v>
      </c>
      <c r="L805">
        <f>Table1[[#This Row],[Delivery volume]]*0.05</f>
        <v>172.65</v>
      </c>
      <c r="M805" s="16">
        <f>Table1[[#This Row],[Delivery Cost]]/Table1[[#This Row],[Revenue]]</f>
        <v>0.04</v>
      </c>
      <c r="N805" t="str">
        <f t="shared" si="12"/>
        <v>Jan</v>
      </c>
    </row>
    <row r="806" spans="1:14" x14ac:dyDescent="0.2">
      <c r="A806" s="1">
        <v>45538</v>
      </c>
      <c r="B806" t="s">
        <v>31</v>
      </c>
      <c r="C806" t="s">
        <v>20</v>
      </c>
      <c r="D806" t="s">
        <v>14</v>
      </c>
      <c r="E806">
        <v>4982</v>
      </c>
      <c r="F806">
        <v>0.9</v>
      </c>
      <c r="G806">
        <v>0.7</v>
      </c>
      <c r="H806">
        <v>4483.8</v>
      </c>
      <c r="I806">
        <v>3487.3999999999901</v>
      </c>
      <c r="J806">
        <v>996.4</v>
      </c>
      <c r="K806">
        <f>Table1[[#This Row],[Liters_Sold]]</f>
        <v>4982</v>
      </c>
      <c r="L806">
        <f>Table1[[#This Row],[Delivery volume]]*0.05</f>
        <v>249.10000000000002</v>
      </c>
      <c r="M806" s="16">
        <f>Table1[[#This Row],[Delivery Cost]]/Table1[[#This Row],[Revenue]]</f>
        <v>5.5555555555555559E-2</v>
      </c>
      <c r="N806" t="str">
        <f t="shared" si="12"/>
        <v>Sep</v>
      </c>
    </row>
    <row r="807" spans="1:14" x14ac:dyDescent="0.2">
      <c r="A807" s="1">
        <v>45397</v>
      </c>
      <c r="B807" t="s">
        <v>25</v>
      </c>
      <c r="C807" t="s">
        <v>17</v>
      </c>
      <c r="D807" t="s">
        <v>12</v>
      </c>
      <c r="E807">
        <v>1198</v>
      </c>
      <c r="F807">
        <v>1.25</v>
      </c>
      <c r="G807">
        <v>1.05</v>
      </c>
      <c r="H807">
        <v>1497.5</v>
      </c>
      <c r="I807">
        <v>1257.9000000000001</v>
      </c>
      <c r="J807">
        <v>239.599999999999</v>
      </c>
      <c r="K807">
        <f>Table1[[#This Row],[Liters_Sold]]</f>
        <v>1198</v>
      </c>
      <c r="L807">
        <f>Table1[[#This Row],[Delivery volume]]*0.05</f>
        <v>59.900000000000006</v>
      </c>
      <c r="M807" s="16">
        <f>Table1[[#This Row],[Delivery Cost]]/Table1[[#This Row],[Revenue]]</f>
        <v>0.04</v>
      </c>
      <c r="N807" t="str">
        <f t="shared" si="12"/>
        <v>Apr</v>
      </c>
    </row>
    <row r="808" spans="1:14" x14ac:dyDescent="0.2">
      <c r="A808" s="1">
        <v>45342</v>
      </c>
      <c r="B808" t="s">
        <v>19</v>
      </c>
      <c r="C808" t="s">
        <v>17</v>
      </c>
      <c r="D808" t="s">
        <v>18</v>
      </c>
      <c r="E808">
        <v>5796</v>
      </c>
      <c r="F808">
        <v>1.2</v>
      </c>
      <c r="G808">
        <v>1</v>
      </c>
      <c r="H808">
        <v>6955.2</v>
      </c>
      <c r="I808">
        <v>5796</v>
      </c>
      <c r="J808">
        <v>1159.19999999999</v>
      </c>
      <c r="K808">
        <f>Table1[[#This Row],[Liters_Sold]]</f>
        <v>5796</v>
      </c>
      <c r="L808">
        <f>Table1[[#This Row],[Delivery volume]]*0.05</f>
        <v>289.8</v>
      </c>
      <c r="M808" s="16">
        <f>Table1[[#This Row],[Delivery Cost]]/Table1[[#This Row],[Revenue]]</f>
        <v>4.1666666666666671E-2</v>
      </c>
      <c r="N808" t="str">
        <f t="shared" si="12"/>
        <v>Feb</v>
      </c>
    </row>
    <row r="809" spans="1:14" x14ac:dyDescent="0.2">
      <c r="A809" s="1">
        <v>45372</v>
      </c>
      <c r="B809" t="s">
        <v>16</v>
      </c>
      <c r="C809" t="s">
        <v>23</v>
      </c>
      <c r="D809" t="s">
        <v>12</v>
      </c>
      <c r="E809">
        <v>1326</v>
      </c>
      <c r="F809">
        <v>1.25</v>
      </c>
      <c r="G809">
        <v>1.05</v>
      </c>
      <c r="H809">
        <v>1657.5</v>
      </c>
      <c r="I809">
        <v>1392.3</v>
      </c>
      <c r="J809">
        <v>265.2</v>
      </c>
      <c r="K809">
        <f>Table1[[#This Row],[Liters_Sold]]</f>
        <v>1326</v>
      </c>
      <c r="L809">
        <f>Table1[[#This Row],[Delivery volume]]*0.05</f>
        <v>66.3</v>
      </c>
      <c r="M809" s="16">
        <f>Table1[[#This Row],[Delivery Cost]]/Table1[[#This Row],[Revenue]]</f>
        <v>0.04</v>
      </c>
      <c r="N809" t="str">
        <f t="shared" si="12"/>
        <v>Mar</v>
      </c>
    </row>
    <row r="810" spans="1:14" x14ac:dyDescent="0.2">
      <c r="A810" s="1">
        <v>45424</v>
      </c>
      <c r="B810" t="s">
        <v>30</v>
      </c>
      <c r="C810" t="s">
        <v>20</v>
      </c>
      <c r="D810" t="s">
        <v>12</v>
      </c>
      <c r="E810">
        <v>848</v>
      </c>
      <c r="F810">
        <v>1.25</v>
      </c>
      <c r="G810">
        <v>1.05</v>
      </c>
      <c r="H810">
        <v>1060</v>
      </c>
      <c r="I810">
        <v>890.4</v>
      </c>
      <c r="J810">
        <v>169.599999999999</v>
      </c>
      <c r="K810">
        <f>Table1[[#This Row],[Liters_Sold]]</f>
        <v>848</v>
      </c>
      <c r="L810">
        <f>Table1[[#This Row],[Delivery volume]]*0.05</f>
        <v>42.400000000000006</v>
      </c>
      <c r="M810" s="16">
        <f>Table1[[#This Row],[Delivery Cost]]/Table1[[#This Row],[Revenue]]</f>
        <v>4.0000000000000008E-2</v>
      </c>
      <c r="N810" t="str">
        <f t="shared" si="12"/>
        <v>May</v>
      </c>
    </row>
    <row r="811" spans="1:14" x14ac:dyDescent="0.2">
      <c r="A811" s="1">
        <v>45576</v>
      </c>
      <c r="B811" t="s">
        <v>15</v>
      </c>
      <c r="C811" t="s">
        <v>11</v>
      </c>
      <c r="D811" t="s">
        <v>18</v>
      </c>
      <c r="E811">
        <v>5874</v>
      </c>
      <c r="F811">
        <v>1.2</v>
      </c>
      <c r="G811">
        <v>1</v>
      </c>
      <c r="H811">
        <v>7048.8</v>
      </c>
      <c r="I811">
        <v>5874</v>
      </c>
      <c r="J811">
        <v>1174.8</v>
      </c>
      <c r="K811">
        <f>Table1[[#This Row],[Liters_Sold]]</f>
        <v>5874</v>
      </c>
      <c r="L811">
        <f>Table1[[#This Row],[Delivery volume]]*0.05</f>
        <v>293.7</v>
      </c>
      <c r="M811" s="16">
        <f>Table1[[#This Row],[Delivery Cost]]/Table1[[#This Row],[Revenue]]</f>
        <v>4.1666666666666664E-2</v>
      </c>
      <c r="N811" t="str">
        <f t="shared" si="12"/>
        <v>Oct</v>
      </c>
    </row>
    <row r="812" spans="1:14" x14ac:dyDescent="0.2">
      <c r="A812" s="1">
        <v>45429</v>
      </c>
      <c r="B812" t="s">
        <v>31</v>
      </c>
      <c r="C812" t="s">
        <v>11</v>
      </c>
      <c r="D812" t="s">
        <v>18</v>
      </c>
      <c r="E812">
        <v>4408</v>
      </c>
      <c r="F812">
        <v>1.2</v>
      </c>
      <c r="G812">
        <v>1</v>
      </c>
      <c r="H812">
        <v>5289.5999999999904</v>
      </c>
      <c r="I812">
        <v>4408</v>
      </c>
      <c r="J812">
        <v>881.599999999999</v>
      </c>
      <c r="K812">
        <f>Table1[[#This Row],[Liters_Sold]]</f>
        <v>4408</v>
      </c>
      <c r="L812">
        <f>Table1[[#This Row],[Delivery volume]]*0.05</f>
        <v>220.4</v>
      </c>
      <c r="M812" s="16">
        <f>Table1[[#This Row],[Delivery Cost]]/Table1[[#This Row],[Revenue]]</f>
        <v>4.1666666666666741E-2</v>
      </c>
      <c r="N812" t="str">
        <f t="shared" si="12"/>
        <v>May</v>
      </c>
    </row>
    <row r="813" spans="1:14" x14ac:dyDescent="0.2">
      <c r="A813" s="1">
        <v>45475</v>
      </c>
      <c r="B813" t="s">
        <v>19</v>
      </c>
      <c r="C813" t="s">
        <v>29</v>
      </c>
      <c r="D813" t="s">
        <v>12</v>
      </c>
      <c r="E813">
        <v>807</v>
      </c>
      <c r="F813">
        <v>1.25</v>
      </c>
      <c r="G813">
        <v>1.05</v>
      </c>
      <c r="H813">
        <v>1008.75</v>
      </c>
      <c r="I813">
        <v>847.35</v>
      </c>
      <c r="J813">
        <v>161.39999999999901</v>
      </c>
      <c r="K813">
        <f>Table1[[#This Row],[Liters_Sold]]</f>
        <v>807</v>
      </c>
      <c r="L813">
        <f>Table1[[#This Row],[Delivery volume]]*0.05</f>
        <v>40.35</v>
      </c>
      <c r="M813" s="16">
        <f>Table1[[#This Row],[Delivery Cost]]/Table1[[#This Row],[Revenue]]</f>
        <v>0.04</v>
      </c>
      <c r="N813" t="str">
        <f t="shared" si="12"/>
        <v>Jul</v>
      </c>
    </row>
    <row r="814" spans="1:14" x14ac:dyDescent="0.2">
      <c r="A814" s="1">
        <v>45621</v>
      </c>
      <c r="B814" t="s">
        <v>31</v>
      </c>
      <c r="C814" t="s">
        <v>29</v>
      </c>
      <c r="D814" t="s">
        <v>12</v>
      </c>
      <c r="E814">
        <v>3916</v>
      </c>
      <c r="F814">
        <v>1.25</v>
      </c>
      <c r="G814">
        <v>1.05</v>
      </c>
      <c r="H814">
        <v>4895</v>
      </c>
      <c r="I814">
        <v>4111.8</v>
      </c>
      <c r="J814">
        <v>783.19999999999902</v>
      </c>
      <c r="K814">
        <f>Table1[[#This Row],[Liters_Sold]]</f>
        <v>3916</v>
      </c>
      <c r="L814">
        <f>Table1[[#This Row],[Delivery volume]]*0.05</f>
        <v>195.8</v>
      </c>
      <c r="M814" s="16">
        <f>Table1[[#This Row],[Delivery Cost]]/Table1[[#This Row],[Revenue]]</f>
        <v>0.04</v>
      </c>
      <c r="N814" t="str">
        <f t="shared" si="12"/>
        <v>Nov</v>
      </c>
    </row>
    <row r="815" spans="1:14" x14ac:dyDescent="0.2">
      <c r="A815" s="1">
        <v>45564</v>
      </c>
      <c r="B815" t="s">
        <v>24</v>
      </c>
      <c r="C815" t="s">
        <v>11</v>
      </c>
      <c r="D815" t="s">
        <v>12</v>
      </c>
      <c r="E815">
        <v>5746</v>
      </c>
      <c r="F815">
        <v>1.25</v>
      </c>
      <c r="G815">
        <v>1.05</v>
      </c>
      <c r="H815">
        <v>7182.5</v>
      </c>
      <c r="I815">
        <v>6033.3</v>
      </c>
      <c r="J815">
        <v>1149.19999999999</v>
      </c>
      <c r="K815">
        <f>Table1[[#This Row],[Liters_Sold]]</f>
        <v>5746</v>
      </c>
      <c r="L815">
        <f>Table1[[#This Row],[Delivery volume]]*0.05</f>
        <v>287.3</v>
      </c>
      <c r="M815" s="16">
        <f>Table1[[#This Row],[Delivery Cost]]/Table1[[#This Row],[Revenue]]</f>
        <v>0.04</v>
      </c>
      <c r="N815" t="str">
        <f t="shared" si="12"/>
        <v>Sep</v>
      </c>
    </row>
    <row r="816" spans="1:14" x14ac:dyDescent="0.2">
      <c r="A816" s="1">
        <v>45631</v>
      </c>
      <c r="B816" t="s">
        <v>30</v>
      </c>
      <c r="C816" t="s">
        <v>11</v>
      </c>
      <c r="D816" t="s">
        <v>12</v>
      </c>
      <c r="E816">
        <v>2834</v>
      </c>
      <c r="F816">
        <v>1.25</v>
      </c>
      <c r="G816">
        <v>1.05</v>
      </c>
      <c r="H816">
        <v>3542.5</v>
      </c>
      <c r="I816">
        <v>2975.7</v>
      </c>
      <c r="J816">
        <v>566.79999999999905</v>
      </c>
      <c r="K816">
        <f>Table1[[#This Row],[Liters_Sold]]</f>
        <v>2834</v>
      </c>
      <c r="L816">
        <f>Table1[[#This Row],[Delivery volume]]*0.05</f>
        <v>141.70000000000002</v>
      </c>
      <c r="M816" s="16">
        <f>Table1[[#This Row],[Delivery Cost]]/Table1[[#This Row],[Revenue]]</f>
        <v>4.0000000000000008E-2</v>
      </c>
      <c r="N816" t="str">
        <f t="shared" si="12"/>
        <v>Dec</v>
      </c>
    </row>
    <row r="817" spans="1:14" x14ac:dyDescent="0.2">
      <c r="A817" s="1">
        <v>45360</v>
      </c>
      <c r="B817" t="s">
        <v>26</v>
      </c>
      <c r="C817" t="s">
        <v>20</v>
      </c>
      <c r="D817" t="s">
        <v>18</v>
      </c>
      <c r="E817">
        <v>5361</v>
      </c>
      <c r="F817">
        <v>1.2</v>
      </c>
      <c r="G817">
        <v>1</v>
      </c>
      <c r="H817">
        <v>6433.2</v>
      </c>
      <c r="I817">
        <v>5361</v>
      </c>
      <c r="J817">
        <v>1072.19999999999</v>
      </c>
      <c r="K817">
        <f>Table1[[#This Row],[Liters_Sold]]</f>
        <v>5361</v>
      </c>
      <c r="L817">
        <f>Table1[[#This Row],[Delivery volume]]*0.05</f>
        <v>268.05</v>
      </c>
      <c r="M817" s="16">
        <f>Table1[[#This Row],[Delivery Cost]]/Table1[[#This Row],[Revenue]]</f>
        <v>4.1666666666666671E-2</v>
      </c>
      <c r="N817" t="str">
        <f t="shared" si="12"/>
        <v>Mar</v>
      </c>
    </row>
    <row r="818" spans="1:14" x14ac:dyDescent="0.2">
      <c r="A818" s="1">
        <v>45325</v>
      </c>
      <c r="B818" t="s">
        <v>31</v>
      </c>
      <c r="C818" t="s">
        <v>17</v>
      </c>
      <c r="D818" t="s">
        <v>12</v>
      </c>
      <c r="E818">
        <v>5320</v>
      </c>
      <c r="F818">
        <v>1.25</v>
      </c>
      <c r="G818">
        <v>1.05</v>
      </c>
      <c r="H818">
        <v>6650</v>
      </c>
      <c r="I818">
        <v>5586</v>
      </c>
      <c r="J818">
        <v>1064</v>
      </c>
      <c r="K818">
        <f>Table1[[#This Row],[Liters_Sold]]</f>
        <v>5320</v>
      </c>
      <c r="L818">
        <f>Table1[[#This Row],[Delivery volume]]*0.05</f>
        <v>266</v>
      </c>
      <c r="M818" s="16">
        <f>Table1[[#This Row],[Delivery Cost]]/Table1[[#This Row],[Revenue]]</f>
        <v>0.04</v>
      </c>
      <c r="N818" t="str">
        <f t="shared" si="12"/>
        <v>Feb</v>
      </c>
    </row>
    <row r="819" spans="1:14" x14ac:dyDescent="0.2">
      <c r="A819" s="1">
        <v>45553</v>
      </c>
      <c r="B819" t="s">
        <v>10</v>
      </c>
      <c r="C819" t="s">
        <v>29</v>
      </c>
      <c r="D819" t="s">
        <v>12</v>
      </c>
      <c r="E819">
        <v>3309</v>
      </c>
      <c r="F819">
        <v>1.25</v>
      </c>
      <c r="G819">
        <v>1.05</v>
      </c>
      <c r="H819">
        <v>4136.25</v>
      </c>
      <c r="I819">
        <v>3474.45</v>
      </c>
      <c r="J819">
        <v>661.79999999999905</v>
      </c>
      <c r="K819">
        <f>Table1[[#This Row],[Liters_Sold]]</f>
        <v>3309</v>
      </c>
      <c r="L819">
        <f>Table1[[#This Row],[Delivery volume]]*0.05</f>
        <v>165.45000000000002</v>
      </c>
      <c r="M819" s="16">
        <f>Table1[[#This Row],[Delivery Cost]]/Table1[[#This Row],[Revenue]]</f>
        <v>0.04</v>
      </c>
      <c r="N819" t="str">
        <f t="shared" si="12"/>
        <v>Sep</v>
      </c>
    </row>
    <row r="820" spans="1:14" x14ac:dyDescent="0.2">
      <c r="A820" s="1">
        <v>45344</v>
      </c>
      <c r="B820" t="s">
        <v>25</v>
      </c>
      <c r="C820" t="s">
        <v>17</v>
      </c>
      <c r="D820" t="s">
        <v>12</v>
      </c>
      <c r="E820">
        <v>4058</v>
      </c>
      <c r="F820">
        <v>1.25</v>
      </c>
      <c r="G820">
        <v>1.05</v>
      </c>
      <c r="H820">
        <v>5072.5</v>
      </c>
      <c r="I820">
        <v>4260.8999999999996</v>
      </c>
      <c r="J820">
        <v>811.599999999999</v>
      </c>
      <c r="K820">
        <f>Table1[[#This Row],[Liters_Sold]]</f>
        <v>4058</v>
      </c>
      <c r="L820">
        <f>Table1[[#This Row],[Delivery volume]]*0.05</f>
        <v>202.9</v>
      </c>
      <c r="M820" s="16">
        <f>Table1[[#This Row],[Delivery Cost]]/Table1[[#This Row],[Revenue]]</f>
        <v>0.04</v>
      </c>
      <c r="N820" t="str">
        <f t="shared" si="12"/>
        <v>Feb</v>
      </c>
    </row>
    <row r="821" spans="1:14" x14ac:dyDescent="0.2">
      <c r="A821" s="1">
        <v>45496</v>
      </c>
      <c r="B821" t="s">
        <v>31</v>
      </c>
      <c r="C821" t="s">
        <v>20</v>
      </c>
      <c r="D821" t="s">
        <v>14</v>
      </c>
      <c r="E821">
        <v>4978</v>
      </c>
      <c r="F821">
        <v>0.9</v>
      </c>
      <c r="G821">
        <v>0.7</v>
      </c>
      <c r="H821">
        <v>4480.2</v>
      </c>
      <c r="I821">
        <v>3484.6</v>
      </c>
      <c r="J821">
        <v>995.599999999999</v>
      </c>
      <c r="K821">
        <f>Table1[[#This Row],[Liters_Sold]]</f>
        <v>4978</v>
      </c>
      <c r="L821">
        <f>Table1[[#This Row],[Delivery volume]]*0.05</f>
        <v>248.9</v>
      </c>
      <c r="M821" s="16">
        <f>Table1[[#This Row],[Delivery Cost]]/Table1[[#This Row],[Revenue]]</f>
        <v>5.5555555555555559E-2</v>
      </c>
      <c r="N821" t="str">
        <f t="shared" si="12"/>
        <v>Jul</v>
      </c>
    </row>
    <row r="822" spans="1:14" x14ac:dyDescent="0.2">
      <c r="A822" s="1">
        <v>45417</v>
      </c>
      <c r="B822" t="s">
        <v>27</v>
      </c>
      <c r="C822" t="s">
        <v>11</v>
      </c>
      <c r="D822" t="s">
        <v>14</v>
      </c>
      <c r="E822">
        <v>3977</v>
      </c>
      <c r="F822">
        <v>0.9</v>
      </c>
      <c r="G822">
        <v>0.7</v>
      </c>
      <c r="H822">
        <v>3579.3</v>
      </c>
      <c r="I822">
        <v>2783.8999999999901</v>
      </c>
      <c r="J822">
        <v>795.4</v>
      </c>
      <c r="K822">
        <f>Table1[[#This Row],[Liters_Sold]]</f>
        <v>3977</v>
      </c>
      <c r="L822">
        <f>Table1[[#This Row],[Delivery volume]]*0.05</f>
        <v>198.85000000000002</v>
      </c>
      <c r="M822" s="16">
        <f>Table1[[#This Row],[Delivery Cost]]/Table1[[#This Row],[Revenue]]</f>
        <v>5.5555555555555559E-2</v>
      </c>
      <c r="N822" t="str">
        <f t="shared" si="12"/>
        <v>May</v>
      </c>
    </row>
    <row r="823" spans="1:14" x14ac:dyDescent="0.2">
      <c r="A823" s="1">
        <v>45526</v>
      </c>
      <c r="B823" t="s">
        <v>16</v>
      </c>
      <c r="C823" t="s">
        <v>17</v>
      </c>
      <c r="D823" t="s">
        <v>12</v>
      </c>
      <c r="E823">
        <v>5120</v>
      </c>
      <c r="F823">
        <v>1.25</v>
      </c>
      <c r="G823">
        <v>1.05</v>
      </c>
      <c r="H823">
        <v>6400</v>
      </c>
      <c r="I823">
        <v>5376</v>
      </c>
      <c r="J823">
        <v>1024</v>
      </c>
      <c r="K823">
        <f>Table1[[#This Row],[Liters_Sold]]</f>
        <v>5120</v>
      </c>
      <c r="L823">
        <f>Table1[[#This Row],[Delivery volume]]*0.05</f>
        <v>256</v>
      </c>
      <c r="M823" s="16">
        <f>Table1[[#This Row],[Delivery Cost]]/Table1[[#This Row],[Revenue]]</f>
        <v>0.04</v>
      </c>
      <c r="N823" t="str">
        <f t="shared" si="12"/>
        <v>Aug</v>
      </c>
    </row>
    <row r="824" spans="1:14" x14ac:dyDescent="0.2">
      <c r="A824" s="1">
        <v>45334</v>
      </c>
      <c r="B824" t="s">
        <v>16</v>
      </c>
      <c r="C824" t="s">
        <v>11</v>
      </c>
      <c r="D824" t="s">
        <v>18</v>
      </c>
      <c r="E824">
        <v>3186</v>
      </c>
      <c r="F824">
        <v>1.2</v>
      </c>
      <c r="G824">
        <v>1</v>
      </c>
      <c r="H824">
        <v>3823.2</v>
      </c>
      <c r="I824">
        <v>3186</v>
      </c>
      <c r="J824">
        <v>637.19999999999902</v>
      </c>
      <c r="K824">
        <f>Table1[[#This Row],[Liters_Sold]]</f>
        <v>3186</v>
      </c>
      <c r="L824">
        <f>Table1[[#This Row],[Delivery volume]]*0.05</f>
        <v>159.30000000000001</v>
      </c>
      <c r="M824" s="16">
        <f>Table1[[#This Row],[Delivery Cost]]/Table1[[#This Row],[Revenue]]</f>
        <v>4.1666666666666671E-2</v>
      </c>
      <c r="N824" t="str">
        <f t="shared" si="12"/>
        <v>Feb</v>
      </c>
    </row>
    <row r="825" spans="1:14" x14ac:dyDescent="0.2">
      <c r="A825" s="1">
        <v>45531</v>
      </c>
      <c r="B825" t="s">
        <v>24</v>
      </c>
      <c r="C825" t="s">
        <v>11</v>
      </c>
      <c r="D825" t="s">
        <v>12</v>
      </c>
      <c r="E825">
        <v>3485</v>
      </c>
      <c r="F825">
        <v>1.25</v>
      </c>
      <c r="G825">
        <v>1.05</v>
      </c>
      <c r="H825">
        <v>4356.25</v>
      </c>
      <c r="I825">
        <v>3659.25</v>
      </c>
      <c r="J825">
        <v>697</v>
      </c>
      <c r="K825">
        <f>Table1[[#This Row],[Liters_Sold]]</f>
        <v>3485</v>
      </c>
      <c r="L825">
        <f>Table1[[#This Row],[Delivery volume]]*0.05</f>
        <v>174.25</v>
      </c>
      <c r="M825" s="16">
        <f>Table1[[#This Row],[Delivery Cost]]/Table1[[#This Row],[Revenue]]</f>
        <v>0.04</v>
      </c>
      <c r="N825" t="str">
        <f t="shared" si="12"/>
        <v>Aug</v>
      </c>
    </row>
    <row r="826" spans="1:14" x14ac:dyDescent="0.2">
      <c r="A826" s="1">
        <v>45402</v>
      </c>
      <c r="B826" t="s">
        <v>25</v>
      </c>
      <c r="C826" t="s">
        <v>23</v>
      </c>
      <c r="D826" t="s">
        <v>12</v>
      </c>
      <c r="E826">
        <v>775</v>
      </c>
      <c r="F826">
        <v>1.25</v>
      </c>
      <c r="G826">
        <v>1.05</v>
      </c>
      <c r="H826">
        <v>968.75</v>
      </c>
      <c r="I826">
        <v>813.75</v>
      </c>
      <c r="J826">
        <v>155</v>
      </c>
      <c r="K826">
        <f>Table1[[#This Row],[Liters_Sold]]</f>
        <v>775</v>
      </c>
      <c r="L826">
        <f>Table1[[#This Row],[Delivery volume]]*0.05</f>
        <v>38.75</v>
      </c>
      <c r="M826" s="16">
        <f>Table1[[#This Row],[Delivery Cost]]/Table1[[#This Row],[Revenue]]</f>
        <v>0.04</v>
      </c>
      <c r="N826" t="str">
        <f t="shared" si="12"/>
        <v>Apr</v>
      </c>
    </row>
    <row r="827" spans="1:14" x14ac:dyDescent="0.2">
      <c r="A827" s="1">
        <v>45540</v>
      </c>
      <c r="B827" t="s">
        <v>30</v>
      </c>
      <c r="C827" t="s">
        <v>17</v>
      </c>
      <c r="D827" t="s">
        <v>18</v>
      </c>
      <c r="E827">
        <v>3047</v>
      </c>
      <c r="F827">
        <v>1.2</v>
      </c>
      <c r="G827">
        <v>1</v>
      </c>
      <c r="H827">
        <v>3656.4</v>
      </c>
      <c r="I827">
        <v>3047</v>
      </c>
      <c r="J827">
        <v>609.4</v>
      </c>
      <c r="K827">
        <f>Table1[[#This Row],[Liters_Sold]]</f>
        <v>3047</v>
      </c>
      <c r="L827">
        <f>Table1[[#This Row],[Delivery volume]]*0.05</f>
        <v>152.35</v>
      </c>
      <c r="M827" s="16">
        <f>Table1[[#This Row],[Delivery Cost]]/Table1[[#This Row],[Revenue]]</f>
        <v>4.1666666666666664E-2</v>
      </c>
      <c r="N827" t="str">
        <f t="shared" si="12"/>
        <v>Sep</v>
      </c>
    </row>
    <row r="828" spans="1:14" x14ac:dyDescent="0.2">
      <c r="A828" s="1">
        <v>45442</v>
      </c>
      <c r="B828" t="s">
        <v>10</v>
      </c>
      <c r="C828" t="s">
        <v>17</v>
      </c>
      <c r="D828" t="s">
        <v>14</v>
      </c>
      <c r="E828">
        <v>3264</v>
      </c>
      <c r="F828">
        <v>0.9</v>
      </c>
      <c r="G828">
        <v>0.7</v>
      </c>
      <c r="H828">
        <v>2937.6</v>
      </c>
      <c r="I828">
        <v>2284.7999999999902</v>
      </c>
      <c r="J828">
        <v>652.79999999999995</v>
      </c>
      <c r="K828">
        <f>Table1[[#This Row],[Liters_Sold]]</f>
        <v>3264</v>
      </c>
      <c r="L828">
        <f>Table1[[#This Row],[Delivery volume]]*0.05</f>
        <v>163.20000000000002</v>
      </c>
      <c r="M828" s="16">
        <f>Table1[[#This Row],[Delivery Cost]]/Table1[[#This Row],[Revenue]]</f>
        <v>5.5555555555555566E-2</v>
      </c>
      <c r="N828" t="str">
        <f t="shared" si="12"/>
        <v>May</v>
      </c>
    </row>
    <row r="829" spans="1:14" x14ac:dyDescent="0.2">
      <c r="A829" s="1">
        <v>45474</v>
      </c>
      <c r="B829" t="s">
        <v>22</v>
      </c>
      <c r="C829" t="s">
        <v>11</v>
      </c>
      <c r="D829" t="s">
        <v>14</v>
      </c>
      <c r="E829">
        <v>836</v>
      </c>
      <c r="F829">
        <v>0.9</v>
      </c>
      <c r="G829">
        <v>0.7</v>
      </c>
      <c r="H829">
        <v>752.4</v>
      </c>
      <c r="I829">
        <v>585.19999999999902</v>
      </c>
      <c r="J829">
        <v>167.2</v>
      </c>
      <c r="K829">
        <f>Table1[[#This Row],[Liters_Sold]]</f>
        <v>836</v>
      </c>
      <c r="L829">
        <f>Table1[[#This Row],[Delivery volume]]*0.05</f>
        <v>41.800000000000004</v>
      </c>
      <c r="M829" s="16">
        <f>Table1[[#This Row],[Delivery Cost]]/Table1[[#This Row],[Revenue]]</f>
        <v>5.5555555555555566E-2</v>
      </c>
      <c r="N829" t="str">
        <f t="shared" si="12"/>
        <v>Jul</v>
      </c>
    </row>
    <row r="830" spans="1:14" x14ac:dyDescent="0.2">
      <c r="A830" s="1">
        <v>45627</v>
      </c>
      <c r="B830" t="s">
        <v>25</v>
      </c>
      <c r="C830" t="s">
        <v>20</v>
      </c>
      <c r="D830" t="s">
        <v>18</v>
      </c>
      <c r="E830">
        <v>2473</v>
      </c>
      <c r="F830">
        <v>1.2</v>
      </c>
      <c r="G830">
        <v>1</v>
      </c>
      <c r="H830">
        <v>2967.6</v>
      </c>
      <c r="I830">
        <v>2473</v>
      </c>
      <c r="J830">
        <v>494.599999999999</v>
      </c>
      <c r="K830">
        <f>Table1[[#This Row],[Liters_Sold]]</f>
        <v>2473</v>
      </c>
      <c r="L830">
        <f>Table1[[#This Row],[Delivery volume]]*0.05</f>
        <v>123.65</v>
      </c>
      <c r="M830" s="16">
        <f>Table1[[#This Row],[Delivery Cost]]/Table1[[#This Row],[Revenue]]</f>
        <v>4.1666666666666671E-2</v>
      </c>
      <c r="N830" t="str">
        <f t="shared" si="12"/>
        <v>Dec</v>
      </c>
    </row>
    <row r="831" spans="1:14" x14ac:dyDescent="0.2">
      <c r="A831" s="1">
        <v>45386</v>
      </c>
      <c r="B831" t="s">
        <v>16</v>
      </c>
      <c r="C831" t="s">
        <v>23</v>
      </c>
      <c r="D831" t="s">
        <v>12</v>
      </c>
      <c r="E831">
        <v>3479</v>
      </c>
      <c r="F831">
        <v>1.25</v>
      </c>
      <c r="G831">
        <v>1.05</v>
      </c>
      <c r="H831">
        <v>4348.75</v>
      </c>
      <c r="I831">
        <v>3652.95</v>
      </c>
      <c r="J831">
        <v>695.79999999999905</v>
      </c>
      <c r="K831">
        <f>Table1[[#This Row],[Liters_Sold]]</f>
        <v>3479</v>
      </c>
      <c r="L831">
        <f>Table1[[#This Row],[Delivery volume]]*0.05</f>
        <v>173.95000000000002</v>
      </c>
      <c r="M831" s="16">
        <f>Table1[[#This Row],[Delivery Cost]]/Table1[[#This Row],[Revenue]]</f>
        <v>0.04</v>
      </c>
      <c r="N831" t="str">
        <f t="shared" si="12"/>
        <v>Apr</v>
      </c>
    </row>
    <row r="832" spans="1:14" x14ac:dyDescent="0.2">
      <c r="A832" s="1">
        <v>45299</v>
      </c>
      <c r="B832" t="s">
        <v>27</v>
      </c>
      <c r="C832" t="s">
        <v>11</v>
      </c>
      <c r="D832" t="s">
        <v>18</v>
      </c>
      <c r="E832">
        <v>5076</v>
      </c>
      <c r="F832">
        <v>1.2</v>
      </c>
      <c r="G832">
        <v>1</v>
      </c>
      <c r="H832">
        <v>6091.2</v>
      </c>
      <c r="I832">
        <v>5076</v>
      </c>
      <c r="J832">
        <v>1015.19999999999</v>
      </c>
      <c r="K832">
        <f>Table1[[#This Row],[Liters_Sold]]</f>
        <v>5076</v>
      </c>
      <c r="L832">
        <f>Table1[[#This Row],[Delivery volume]]*0.05</f>
        <v>253.8</v>
      </c>
      <c r="M832" s="16">
        <f>Table1[[#This Row],[Delivery Cost]]/Table1[[#This Row],[Revenue]]</f>
        <v>4.1666666666666671E-2</v>
      </c>
      <c r="N832" t="str">
        <f t="shared" si="12"/>
        <v>Jan</v>
      </c>
    </row>
    <row r="833" spans="1:14" x14ac:dyDescent="0.2">
      <c r="A833" s="1">
        <v>45651</v>
      </c>
      <c r="B833" t="s">
        <v>26</v>
      </c>
      <c r="C833" t="s">
        <v>29</v>
      </c>
      <c r="D833" t="s">
        <v>12</v>
      </c>
      <c r="E833">
        <v>4468</v>
      </c>
      <c r="F833">
        <v>1.25</v>
      </c>
      <c r="G833">
        <v>1.05</v>
      </c>
      <c r="H833">
        <v>5585</v>
      </c>
      <c r="I833">
        <v>4691.3999999999996</v>
      </c>
      <c r="J833">
        <v>893.599999999999</v>
      </c>
      <c r="K833">
        <f>Table1[[#This Row],[Liters_Sold]]</f>
        <v>4468</v>
      </c>
      <c r="L833">
        <f>Table1[[#This Row],[Delivery volume]]*0.05</f>
        <v>223.4</v>
      </c>
      <c r="M833" s="16">
        <f>Table1[[#This Row],[Delivery Cost]]/Table1[[#This Row],[Revenue]]</f>
        <v>0.04</v>
      </c>
      <c r="N833" t="str">
        <f t="shared" si="12"/>
        <v>Dec</v>
      </c>
    </row>
    <row r="834" spans="1:14" x14ac:dyDescent="0.2">
      <c r="A834" s="1">
        <v>45475</v>
      </c>
      <c r="B834" t="s">
        <v>24</v>
      </c>
      <c r="C834" t="s">
        <v>29</v>
      </c>
      <c r="D834" t="s">
        <v>18</v>
      </c>
      <c r="E834">
        <v>1410</v>
      </c>
      <c r="F834">
        <v>1.2</v>
      </c>
      <c r="G834">
        <v>1</v>
      </c>
      <c r="H834">
        <v>1692</v>
      </c>
      <c r="I834">
        <v>1410</v>
      </c>
      <c r="J834">
        <v>282</v>
      </c>
      <c r="K834">
        <f>Table1[[#This Row],[Liters_Sold]]</f>
        <v>1410</v>
      </c>
      <c r="L834">
        <f>Table1[[#This Row],[Delivery volume]]*0.05</f>
        <v>70.5</v>
      </c>
      <c r="M834" s="16">
        <f>Table1[[#This Row],[Delivery Cost]]/Table1[[#This Row],[Revenue]]</f>
        <v>4.1666666666666664E-2</v>
      </c>
      <c r="N834" t="str">
        <f t="shared" ref="N834:N897" si="13">TEXT(A834,"mmm")</f>
        <v>Jul</v>
      </c>
    </row>
    <row r="835" spans="1:14" x14ac:dyDescent="0.2">
      <c r="A835" s="1">
        <v>45572</v>
      </c>
      <c r="B835" t="s">
        <v>22</v>
      </c>
      <c r="C835" t="s">
        <v>23</v>
      </c>
      <c r="D835" t="s">
        <v>12</v>
      </c>
      <c r="E835">
        <v>2496</v>
      </c>
      <c r="F835">
        <v>1.25</v>
      </c>
      <c r="G835">
        <v>1.05</v>
      </c>
      <c r="H835">
        <v>3120</v>
      </c>
      <c r="I835">
        <v>2620.8000000000002</v>
      </c>
      <c r="J835">
        <v>499.19999999999902</v>
      </c>
      <c r="K835">
        <f>Table1[[#This Row],[Liters_Sold]]</f>
        <v>2496</v>
      </c>
      <c r="L835">
        <f>Table1[[#This Row],[Delivery volume]]*0.05</f>
        <v>124.80000000000001</v>
      </c>
      <c r="M835" s="16">
        <f>Table1[[#This Row],[Delivery Cost]]/Table1[[#This Row],[Revenue]]</f>
        <v>0.04</v>
      </c>
      <c r="N835" t="str">
        <f t="shared" si="13"/>
        <v>Oct</v>
      </c>
    </row>
    <row r="836" spans="1:14" x14ac:dyDescent="0.2">
      <c r="A836" s="1">
        <v>45486</v>
      </c>
      <c r="B836" t="s">
        <v>27</v>
      </c>
      <c r="C836" t="s">
        <v>20</v>
      </c>
      <c r="D836" t="s">
        <v>18</v>
      </c>
      <c r="E836">
        <v>3629</v>
      </c>
      <c r="F836">
        <v>1.2</v>
      </c>
      <c r="G836">
        <v>1</v>
      </c>
      <c r="H836">
        <v>4354.8</v>
      </c>
      <c r="I836">
        <v>3629</v>
      </c>
      <c r="J836">
        <v>725.8</v>
      </c>
      <c r="K836">
        <f>Table1[[#This Row],[Liters_Sold]]</f>
        <v>3629</v>
      </c>
      <c r="L836">
        <f>Table1[[#This Row],[Delivery volume]]*0.05</f>
        <v>181.45000000000002</v>
      </c>
      <c r="M836" s="16">
        <f>Table1[[#This Row],[Delivery Cost]]/Table1[[#This Row],[Revenue]]</f>
        <v>4.1666666666666671E-2</v>
      </c>
      <c r="N836" t="str">
        <f t="shared" si="13"/>
        <v>Jul</v>
      </c>
    </row>
    <row r="837" spans="1:14" x14ac:dyDescent="0.2">
      <c r="A837" s="1">
        <v>45643</v>
      </c>
      <c r="B837" t="s">
        <v>30</v>
      </c>
      <c r="C837" t="s">
        <v>11</v>
      </c>
      <c r="D837" t="s">
        <v>12</v>
      </c>
      <c r="E837">
        <v>5947</v>
      </c>
      <c r="F837">
        <v>1.25</v>
      </c>
      <c r="G837">
        <v>1.05</v>
      </c>
      <c r="H837">
        <v>7433.75</v>
      </c>
      <c r="I837">
        <v>6244.35</v>
      </c>
      <c r="J837">
        <v>1189.3999999999901</v>
      </c>
      <c r="K837">
        <f>Table1[[#This Row],[Liters_Sold]]</f>
        <v>5947</v>
      </c>
      <c r="L837">
        <f>Table1[[#This Row],[Delivery volume]]*0.05</f>
        <v>297.35000000000002</v>
      </c>
      <c r="M837" s="16">
        <f>Table1[[#This Row],[Delivery Cost]]/Table1[[#This Row],[Revenue]]</f>
        <v>0.04</v>
      </c>
      <c r="N837" t="str">
        <f t="shared" si="13"/>
        <v>Dec</v>
      </c>
    </row>
    <row r="838" spans="1:14" x14ac:dyDescent="0.2">
      <c r="A838" s="1">
        <v>45486</v>
      </c>
      <c r="B838" t="s">
        <v>15</v>
      </c>
      <c r="C838" t="s">
        <v>17</v>
      </c>
      <c r="D838" t="s">
        <v>12</v>
      </c>
      <c r="E838">
        <v>4704</v>
      </c>
      <c r="F838">
        <v>1.25</v>
      </c>
      <c r="G838">
        <v>1.05</v>
      </c>
      <c r="H838">
        <v>5880</v>
      </c>
      <c r="I838">
        <v>4939.2</v>
      </c>
      <c r="J838">
        <v>940.8</v>
      </c>
      <c r="K838">
        <f>Table1[[#This Row],[Liters_Sold]]</f>
        <v>4704</v>
      </c>
      <c r="L838">
        <f>Table1[[#This Row],[Delivery volume]]*0.05</f>
        <v>235.20000000000002</v>
      </c>
      <c r="M838" s="16">
        <f>Table1[[#This Row],[Delivery Cost]]/Table1[[#This Row],[Revenue]]</f>
        <v>0.04</v>
      </c>
      <c r="N838" t="str">
        <f t="shared" si="13"/>
        <v>Jul</v>
      </c>
    </row>
    <row r="839" spans="1:14" x14ac:dyDescent="0.2">
      <c r="A839" s="1">
        <v>45446</v>
      </c>
      <c r="B839" t="s">
        <v>30</v>
      </c>
      <c r="C839" t="s">
        <v>23</v>
      </c>
      <c r="D839" t="s">
        <v>14</v>
      </c>
      <c r="E839">
        <v>4257</v>
      </c>
      <c r="F839">
        <v>0.9</v>
      </c>
      <c r="G839">
        <v>0.7</v>
      </c>
      <c r="H839">
        <v>3831.3</v>
      </c>
      <c r="I839">
        <v>2979.8999999999901</v>
      </c>
      <c r="J839">
        <v>851.4</v>
      </c>
      <c r="K839">
        <f>Table1[[#This Row],[Liters_Sold]]</f>
        <v>4257</v>
      </c>
      <c r="L839">
        <f>Table1[[#This Row],[Delivery volume]]*0.05</f>
        <v>212.85000000000002</v>
      </c>
      <c r="M839" s="16">
        <f>Table1[[#This Row],[Delivery Cost]]/Table1[[#This Row],[Revenue]]</f>
        <v>5.5555555555555559E-2</v>
      </c>
      <c r="N839" t="str">
        <f t="shared" si="13"/>
        <v>Jun</v>
      </c>
    </row>
    <row r="840" spans="1:14" x14ac:dyDescent="0.2">
      <c r="A840" s="1">
        <v>45384</v>
      </c>
      <c r="B840" t="s">
        <v>27</v>
      </c>
      <c r="C840" t="s">
        <v>20</v>
      </c>
      <c r="D840" t="s">
        <v>12</v>
      </c>
      <c r="E840">
        <v>827</v>
      </c>
      <c r="F840">
        <v>1.25</v>
      </c>
      <c r="G840">
        <v>1.05</v>
      </c>
      <c r="H840">
        <v>1033.75</v>
      </c>
      <c r="I840">
        <v>868.35</v>
      </c>
      <c r="J840">
        <v>165.39999999999901</v>
      </c>
      <c r="K840">
        <f>Table1[[#This Row],[Liters_Sold]]</f>
        <v>827</v>
      </c>
      <c r="L840">
        <f>Table1[[#This Row],[Delivery volume]]*0.05</f>
        <v>41.35</v>
      </c>
      <c r="M840" s="16">
        <f>Table1[[#This Row],[Delivery Cost]]/Table1[[#This Row],[Revenue]]</f>
        <v>0.04</v>
      </c>
      <c r="N840" t="str">
        <f t="shared" si="13"/>
        <v>Apr</v>
      </c>
    </row>
    <row r="841" spans="1:14" x14ac:dyDescent="0.2">
      <c r="A841" s="1">
        <v>45451</v>
      </c>
      <c r="B841" t="s">
        <v>15</v>
      </c>
      <c r="C841" t="s">
        <v>17</v>
      </c>
      <c r="D841" t="s">
        <v>18</v>
      </c>
      <c r="E841">
        <v>2299</v>
      </c>
      <c r="F841">
        <v>1.2</v>
      </c>
      <c r="G841">
        <v>1</v>
      </c>
      <c r="H841">
        <v>2758.7999999999902</v>
      </c>
      <c r="I841">
        <v>2299</v>
      </c>
      <c r="J841">
        <v>459.79999999999899</v>
      </c>
      <c r="K841">
        <f>Table1[[#This Row],[Liters_Sold]]</f>
        <v>2299</v>
      </c>
      <c r="L841">
        <f>Table1[[#This Row],[Delivery volume]]*0.05</f>
        <v>114.95</v>
      </c>
      <c r="M841" s="16">
        <f>Table1[[#This Row],[Delivery Cost]]/Table1[[#This Row],[Revenue]]</f>
        <v>4.1666666666666817E-2</v>
      </c>
      <c r="N841" t="str">
        <f t="shared" si="13"/>
        <v>Jun</v>
      </c>
    </row>
    <row r="842" spans="1:14" x14ac:dyDescent="0.2">
      <c r="A842" s="1">
        <v>45352</v>
      </c>
      <c r="B842" t="s">
        <v>21</v>
      </c>
      <c r="C842" t="s">
        <v>29</v>
      </c>
      <c r="D842" t="s">
        <v>12</v>
      </c>
      <c r="E842">
        <v>814</v>
      </c>
      <c r="F842">
        <v>1.25</v>
      </c>
      <c r="G842">
        <v>1.05</v>
      </c>
      <c r="H842">
        <v>1017.5</v>
      </c>
      <c r="I842">
        <v>854.7</v>
      </c>
      <c r="J842">
        <v>162.79999999999899</v>
      </c>
      <c r="K842">
        <f>Table1[[#This Row],[Liters_Sold]]</f>
        <v>814</v>
      </c>
      <c r="L842">
        <f>Table1[[#This Row],[Delivery volume]]*0.05</f>
        <v>40.700000000000003</v>
      </c>
      <c r="M842" s="16">
        <f>Table1[[#This Row],[Delivery Cost]]/Table1[[#This Row],[Revenue]]</f>
        <v>0.04</v>
      </c>
      <c r="N842" t="str">
        <f t="shared" si="13"/>
        <v>Mar</v>
      </c>
    </row>
    <row r="843" spans="1:14" x14ac:dyDescent="0.2">
      <c r="A843" s="1">
        <v>45413</v>
      </c>
      <c r="B843" t="s">
        <v>24</v>
      </c>
      <c r="C843" t="s">
        <v>29</v>
      </c>
      <c r="D843" t="s">
        <v>12</v>
      </c>
      <c r="E843">
        <v>4045</v>
      </c>
      <c r="F843">
        <v>1.25</v>
      </c>
      <c r="G843">
        <v>1.05</v>
      </c>
      <c r="H843">
        <v>5056.25</v>
      </c>
      <c r="I843">
        <v>4247.25</v>
      </c>
      <c r="J843">
        <v>809</v>
      </c>
      <c r="K843">
        <f>Table1[[#This Row],[Liters_Sold]]</f>
        <v>4045</v>
      </c>
      <c r="L843">
        <f>Table1[[#This Row],[Delivery volume]]*0.05</f>
        <v>202.25</v>
      </c>
      <c r="M843" s="16">
        <f>Table1[[#This Row],[Delivery Cost]]/Table1[[#This Row],[Revenue]]</f>
        <v>0.04</v>
      </c>
      <c r="N843" t="str">
        <f t="shared" si="13"/>
        <v>May</v>
      </c>
    </row>
    <row r="844" spans="1:14" x14ac:dyDescent="0.2">
      <c r="A844" s="1">
        <v>45342</v>
      </c>
      <c r="B844" t="s">
        <v>25</v>
      </c>
      <c r="C844" t="s">
        <v>17</v>
      </c>
      <c r="D844" t="s">
        <v>12</v>
      </c>
      <c r="E844">
        <v>1634</v>
      </c>
      <c r="F844">
        <v>1.25</v>
      </c>
      <c r="G844">
        <v>1.05</v>
      </c>
      <c r="H844">
        <v>2042.5</v>
      </c>
      <c r="I844">
        <v>1715.7</v>
      </c>
      <c r="J844">
        <v>326.79999999999899</v>
      </c>
      <c r="K844">
        <f>Table1[[#This Row],[Liters_Sold]]</f>
        <v>1634</v>
      </c>
      <c r="L844">
        <f>Table1[[#This Row],[Delivery volume]]*0.05</f>
        <v>81.7</v>
      </c>
      <c r="M844" s="16">
        <f>Table1[[#This Row],[Delivery Cost]]/Table1[[#This Row],[Revenue]]</f>
        <v>0.04</v>
      </c>
      <c r="N844" t="str">
        <f t="shared" si="13"/>
        <v>Feb</v>
      </c>
    </row>
    <row r="845" spans="1:14" x14ac:dyDescent="0.2">
      <c r="A845" s="1">
        <v>45568</v>
      </c>
      <c r="B845" t="s">
        <v>15</v>
      </c>
      <c r="C845" t="s">
        <v>23</v>
      </c>
      <c r="D845" t="s">
        <v>12</v>
      </c>
      <c r="E845">
        <v>3246</v>
      </c>
      <c r="F845">
        <v>1.25</v>
      </c>
      <c r="G845">
        <v>1.05</v>
      </c>
      <c r="H845">
        <v>4057.5</v>
      </c>
      <c r="I845">
        <v>3408.3</v>
      </c>
      <c r="J845">
        <v>649.19999999999902</v>
      </c>
      <c r="K845">
        <f>Table1[[#This Row],[Liters_Sold]]</f>
        <v>3246</v>
      </c>
      <c r="L845">
        <f>Table1[[#This Row],[Delivery volume]]*0.05</f>
        <v>162.30000000000001</v>
      </c>
      <c r="M845" s="16">
        <f>Table1[[#This Row],[Delivery Cost]]/Table1[[#This Row],[Revenue]]</f>
        <v>0.04</v>
      </c>
      <c r="N845" t="str">
        <f t="shared" si="13"/>
        <v>Oct</v>
      </c>
    </row>
    <row r="846" spans="1:14" x14ac:dyDescent="0.2">
      <c r="A846" s="1">
        <v>45296</v>
      </c>
      <c r="B846" t="s">
        <v>32</v>
      </c>
      <c r="C846" t="s">
        <v>29</v>
      </c>
      <c r="D846" t="s">
        <v>14</v>
      </c>
      <c r="E846">
        <v>5376</v>
      </c>
      <c r="F846">
        <v>0.9</v>
      </c>
      <c r="G846">
        <v>0.7</v>
      </c>
      <c r="H846">
        <v>4838.3999999999996</v>
      </c>
      <c r="I846">
        <v>3763.2</v>
      </c>
      <c r="J846">
        <v>1075.2</v>
      </c>
      <c r="K846">
        <f>Table1[[#This Row],[Liters_Sold]]</f>
        <v>5376</v>
      </c>
      <c r="L846">
        <f>Table1[[#This Row],[Delivery volume]]*0.05</f>
        <v>268.8</v>
      </c>
      <c r="M846" s="16">
        <f>Table1[[#This Row],[Delivery Cost]]/Table1[[#This Row],[Revenue]]</f>
        <v>5.5555555555555559E-2</v>
      </c>
      <c r="N846" t="str">
        <f t="shared" si="13"/>
        <v>Jan</v>
      </c>
    </row>
    <row r="847" spans="1:14" x14ac:dyDescent="0.2">
      <c r="A847" s="1">
        <v>45383</v>
      </c>
      <c r="B847" t="s">
        <v>15</v>
      </c>
      <c r="C847" t="s">
        <v>11</v>
      </c>
      <c r="D847" t="s">
        <v>12</v>
      </c>
      <c r="E847">
        <v>2020</v>
      </c>
      <c r="F847">
        <v>1.25</v>
      </c>
      <c r="G847">
        <v>1.05</v>
      </c>
      <c r="H847">
        <v>2525</v>
      </c>
      <c r="I847">
        <v>2121</v>
      </c>
      <c r="J847">
        <v>404</v>
      </c>
      <c r="K847">
        <f>Table1[[#This Row],[Liters_Sold]]</f>
        <v>2020</v>
      </c>
      <c r="L847">
        <f>Table1[[#This Row],[Delivery volume]]*0.05</f>
        <v>101</v>
      </c>
      <c r="M847" s="16">
        <f>Table1[[#This Row],[Delivery Cost]]/Table1[[#This Row],[Revenue]]</f>
        <v>0.04</v>
      </c>
      <c r="N847" t="str">
        <f t="shared" si="13"/>
        <v>Apr</v>
      </c>
    </row>
    <row r="848" spans="1:14" x14ac:dyDescent="0.2">
      <c r="A848" s="1">
        <v>45461</v>
      </c>
      <c r="B848" t="s">
        <v>19</v>
      </c>
      <c r="C848" t="s">
        <v>17</v>
      </c>
      <c r="D848" t="s">
        <v>14</v>
      </c>
      <c r="E848">
        <v>655</v>
      </c>
      <c r="F848">
        <v>0.9</v>
      </c>
      <c r="G848">
        <v>0.7</v>
      </c>
      <c r="H848">
        <v>589.5</v>
      </c>
      <c r="I848">
        <v>458.49999999999898</v>
      </c>
      <c r="J848">
        <v>131</v>
      </c>
      <c r="K848">
        <f>Table1[[#This Row],[Liters_Sold]]</f>
        <v>655</v>
      </c>
      <c r="L848">
        <f>Table1[[#This Row],[Delivery volume]]*0.05</f>
        <v>32.75</v>
      </c>
      <c r="M848" s="16">
        <f>Table1[[#This Row],[Delivery Cost]]/Table1[[#This Row],[Revenue]]</f>
        <v>5.5555555555555552E-2</v>
      </c>
      <c r="N848" t="str">
        <f t="shared" si="13"/>
        <v>Jun</v>
      </c>
    </row>
    <row r="849" spans="1:14" x14ac:dyDescent="0.2">
      <c r="A849" s="1">
        <v>45608</v>
      </c>
      <c r="B849" t="s">
        <v>26</v>
      </c>
      <c r="C849" t="s">
        <v>17</v>
      </c>
      <c r="D849" t="s">
        <v>18</v>
      </c>
      <c r="E849">
        <v>2224</v>
      </c>
      <c r="F849">
        <v>1.2</v>
      </c>
      <c r="G849">
        <v>1</v>
      </c>
      <c r="H849">
        <v>2668.7999999999902</v>
      </c>
      <c r="I849">
        <v>2224</v>
      </c>
      <c r="J849">
        <v>444.79999999999899</v>
      </c>
      <c r="K849">
        <f>Table1[[#This Row],[Liters_Sold]]</f>
        <v>2224</v>
      </c>
      <c r="L849">
        <f>Table1[[#This Row],[Delivery volume]]*0.05</f>
        <v>111.2</v>
      </c>
      <c r="M849" s="16">
        <f>Table1[[#This Row],[Delivery Cost]]/Table1[[#This Row],[Revenue]]</f>
        <v>4.1666666666666824E-2</v>
      </c>
      <c r="N849" t="str">
        <f t="shared" si="13"/>
        <v>Nov</v>
      </c>
    </row>
    <row r="850" spans="1:14" x14ac:dyDescent="0.2">
      <c r="A850" s="1">
        <v>45313</v>
      </c>
      <c r="B850" t="s">
        <v>19</v>
      </c>
      <c r="C850" t="s">
        <v>29</v>
      </c>
      <c r="D850" t="s">
        <v>12</v>
      </c>
      <c r="E850">
        <v>3843</v>
      </c>
      <c r="F850">
        <v>1.25</v>
      </c>
      <c r="G850">
        <v>1.05</v>
      </c>
      <c r="H850">
        <v>4803.75</v>
      </c>
      <c r="I850">
        <v>4035.15</v>
      </c>
      <c r="J850">
        <v>768.599999999999</v>
      </c>
      <c r="K850">
        <f>Table1[[#This Row],[Liters_Sold]]</f>
        <v>3843</v>
      </c>
      <c r="L850">
        <f>Table1[[#This Row],[Delivery volume]]*0.05</f>
        <v>192.15</v>
      </c>
      <c r="M850" s="16">
        <f>Table1[[#This Row],[Delivery Cost]]/Table1[[#This Row],[Revenue]]</f>
        <v>0.04</v>
      </c>
      <c r="N850" t="str">
        <f t="shared" si="13"/>
        <v>Jan</v>
      </c>
    </row>
    <row r="851" spans="1:14" x14ac:dyDescent="0.2">
      <c r="A851" s="1">
        <v>45617</v>
      </c>
      <c r="B851" t="s">
        <v>25</v>
      </c>
      <c r="C851" t="s">
        <v>23</v>
      </c>
      <c r="D851" t="s">
        <v>18</v>
      </c>
      <c r="E851">
        <v>1386</v>
      </c>
      <c r="F851">
        <v>1.2</v>
      </c>
      <c r="G851">
        <v>1</v>
      </c>
      <c r="H851">
        <v>1663.2</v>
      </c>
      <c r="I851">
        <v>1386</v>
      </c>
      <c r="J851">
        <v>277.2</v>
      </c>
      <c r="K851">
        <f>Table1[[#This Row],[Liters_Sold]]</f>
        <v>1386</v>
      </c>
      <c r="L851">
        <f>Table1[[#This Row],[Delivery volume]]*0.05</f>
        <v>69.3</v>
      </c>
      <c r="M851" s="16">
        <f>Table1[[#This Row],[Delivery Cost]]/Table1[[#This Row],[Revenue]]</f>
        <v>4.1666666666666664E-2</v>
      </c>
      <c r="N851" t="str">
        <f t="shared" si="13"/>
        <v>Nov</v>
      </c>
    </row>
    <row r="852" spans="1:14" x14ac:dyDescent="0.2">
      <c r="A852" s="1">
        <v>45292</v>
      </c>
      <c r="B852" t="s">
        <v>25</v>
      </c>
      <c r="C852" t="s">
        <v>11</v>
      </c>
      <c r="D852" t="s">
        <v>18</v>
      </c>
      <c r="E852">
        <v>3573</v>
      </c>
      <c r="F852">
        <v>1.2</v>
      </c>
      <c r="G852">
        <v>1</v>
      </c>
      <c r="H852">
        <v>4287.5999999999904</v>
      </c>
      <c r="I852">
        <v>3573</v>
      </c>
      <c r="J852">
        <v>714.599999999999</v>
      </c>
      <c r="K852">
        <f>Table1[[#This Row],[Liters_Sold]]</f>
        <v>3573</v>
      </c>
      <c r="L852">
        <f>Table1[[#This Row],[Delivery volume]]*0.05</f>
        <v>178.65</v>
      </c>
      <c r="M852" s="16">
        <f>Table1[[#This Row],[Delivery Cost]]/Table1[[#This Row],[Revenue]]</f>
        <v>4.1666666666666761E-2</v>
      </c>
      <c r="N852" t="str">
        <f t="shared" si="13"/>
        <v>Jan</v>
      </c>
    </row>
    <row r="853" spans="1:14" x14ac:dyDescent="0.2">
      <c r="A853" s="1">
        <v>45424</v>
      </c>
      <c r="B853" t="s">
        <v>24</v>
      </c>
      <c r="C853" t="s">
        <v>23</v>
      </c>
      <c r="D853" t="s">
        <v>18</v>
      </c>
      <c r="E853">
        <v>3305</v>
      </c>
      <c r="F853">
        <v>1.2</v>
      </c>
      <c r="G853">
        <v>1</v>
      </c>
      <c r="H853">
        <v>3966</v>
      </c>
      <c r="I853">
        <v>3305</v>
      </c>
      <c r="J853">
        <v>661</v>
      </c>
      <c r="K853">
        <f>Table1[[#This Row],[Liters_Sold]]</f>
        <v>3305</v>
      </c>
      <c r="L853">
        <f>Table1[[#This Row],[Delivery volume]]*0.05</f>
        <v>165.25</v>
      </c>
      <c r="M853" s="16">
        <f>Table1[[#This Row],[Delivery Cost]]/Table1[[#This Row],[Revenue]]</f>
        <v>4.1666666666666664E-2</v>
      </c>
      <c r="N853" t="str">
        <f t="shared" si="13"/>
        <v>May</v>
      </c>
    </row>
    <row r="854" spans="1:14" x14ac:dyDescent="0.2">
      <c r="A854" s="1">
        <v>45524</v>
      </c>
      <c r="B854" t="s">
        <v>25</v>
      </c>
      <c r="C854" t="s">
        <v>20</v>
      </c>
      <c r="D854" t="s">
        <v>12</v>
      </c>
      <c r="E854">
        <v>1221</v>
      </c>
      <c r="F854">
        <v>1.25</v>
      </c>
      <c r="G854">
        <v>1.05</v>
      </c>
      <c r="H854">
        <v>1526.25</v>
      </c>
      <c r="I854">
        <v>1282.05</v>
      </c>
      <c r="J854">
        <v>244.2</v>
      </c>
      <c r="K854">
        <f>Table1[[#This Row],[Liters_Sold]]</f>
        <v>1221</v>
      </c>
      <c r="L854">
        <f>Table1[[#This Row],[Delivery volume]]*0.05</f>
        <v>61.050000000000004</v>
      </c>
      <c r="M854" s="16">
        <f>Table1[[#This Row],[Delivery Cost]]/Table1[[#This Row],[Revenue]]</f>
        <v>0.04</v>
      </c>
      <c r="N854" t="str">
        <f t="shared" si="13"/>
        <v>Aug</v>
      </c>
    </row>
    <row r="855" spans="1:14" x14ac:dyDescent="0.2">
      <c r="A855" s="1">
        <v>45303</v>
      </c>
      <c r="B855" t="s">
        <v>16</v>
      </c>
      <c r="C855" t="s">
        <v>20</v>
      </c>
      <c r="D855" t="s">
        <v>12</v>
      </c>
      <c r="E855">
        <v>1412</v>
      </c>
      <c r="F855">
        <v>1.25</v>
      </c>
      <c r="G855">
        <v>1.05</v>
      </c>
      <c r="H855">
        <v>1765</v>
      </c>
      <c r="I855">
        <v>1482.6</v>
      </c>
      <c r="J855">
        <v>282.39999999999901</v>
      </c>
      <c r="K855">
        <f>Table1[[#This Row],[Liters_Sold]]</f>
        <v>1412</v>
      </c>
      <c r="L855">
        <f>Table1[[#This Row],[Delivery volume]]*0.05</f>
        <v>70.600000000000009</v>
      </c>
      <c r="M855" s="16">
        <f>Table1[[#This Row],[Delivery Cost]]/Table1[[#This Row],[Revenue]]</f>
        <v>4.0000000000000008E-2</v>
      </c>
      <c r="N855" t="str">
        <f t="shared" si="13"/>
        <v>Jan</v>
      </c>
    </row>
    <row r="856" spans="1:14" x14ac:dyDescent="0.2">
      <c r="A856" s="1">
        <v>45637</v>
      </c>
      <c r="B856" t="s">
        <v>15</v>
      </c>
      <c r="C856" t="s">
        <v>29</v>
      </c>
      <c r="D856" t="s">
        <v>14</v>
      </c>
      <c r="E856">
        <v>3857</v>
      </c>
      <c r="F856">
        <v>0.9</v>
      </c>
      <c r="G856">
        <v>0.7</v>
      </c>
      <c r="H856">
        <v>3471.3</v>
      </c>
      <c r="I856">
        <v>2699.8999999999901</v>
      </c>
      <c r="J856">
        <v>771.4</v>
      </c>
      <c r="K856">
        <f>Table1[[#This Row],[Liters_Sold]]</f>
        <v>3857</v>
      </c>
      <c r="L856">
        <f>Table1[[#This Row],[Delivery volume]]*0.05</f>
        <v>192.85000000000002</v>
      </c>
      <c r="M856" s="16">
        <f>Table1[[#This Row],[Delivery Cost]]/Table1[[#This Row],[Revenue]]</f>
        <v>5.5555555555555559E-2</v>
      </c>
      <c r="N856" t="str">
        <f t="shared" si="13"/>
        <v>Dec</v>
      </c>
    </row>
    <row r="857" spans="1:14" x14ac:dyDescent="0.2">
      <c r="A857" s="1">
        <v>45337</v>
      </c>
      <c r="B857" t="s">
        <v>15</v>
      </c>
      <c r="C857" t="s">
        <v>29</v>
      </c>
      <c r="D857" t="s">
        <v>14</v>
      </c>
      <c r="E857">
        <v>1370</v>
      </c>
      <c r="F857">
        <v>0.9</v>
      </c>
      <c r="G857">
        <v>0.7</v>
      </c>
      <c r="H857">
        <v>1233</v>
      </c>
      <c r="I857">
        <v>958.99999999999898</v>
      </c>
      <c r="J857">
        <v>274</v>
      </c>
      <c r="K857">
        <f>Table1[[#This Row],[Liters_Sold]]</f>
        <v>1370</v>
      </c>
      <c r="L857">
        <f>Table1[[#This Row],[Delivery volume]]*0.05</f>
        <v>68.5</v>
      </c>
      <c r="M857" s="16">
        <f>Table1[[#This Row],[Delivery Cost]]/Table1[[#This Row],[Revenue]]</f>
        <v>5.5555555555555552E-2</v>
      </c>
      <c r="N857" t="str">
        <f t="shared" si="13"/>
        <v>Feb</v>
      </c>
    </row>
    <row r="858" spans="1:14" x14ac:dyDescent="0.2">
      <c r="A858" s="1">
        <v>45325</v>
      </c>
      <c r="B858" t="s">
        <v>21</v>
      </c>
      <c r="C858" t="s">
        <v>29</v>
      </c>
      <c r="D858" t="s">
        <v>14</v>
      </c>
      <c r="E858">
        <v>4608</v>
      </c>
      <c r="F858">
        <v>0.9</v>
      </c>
      <c r="G858">
        <v>0.7</v>
      </c>
      <c r="H858">
        <v>4147.2</v>
      </c>
      <c r="I858">
        <v>3225.6</v>
      </c>
      <c r="J858">
        <v>921.599999999999</v>
      </c>
      <c r="K858">
        <f>Table1[[#This Row],[Liters_Sold]]</f>
        <v>4608</v>
      </c>
      <c r="L858">
        <f>Table1[[#This Row],[Delivery volume]]*0.05</f>
        <v>230.4</v>
      </c>
      <c r="M858" s="16">
        <f>Table1[[#This Row],[Delivery Cost]]/Table1[[#This Row],[Revenue]]</f>
        <v>5.5555555555555559E-2</v>
      </c>
      <c r="N858" t="str">
        <f t="shared" si="13"/>
        <v>Feb</v>
      </c>
    </row>
    <row r="859" spans="1:14" x14ac:dyDescent="0.2">
      <c r="A859" s="1">
        <v>45369</v>
      </c>
      <c r="B859" t="s">
        <v>22</v>
      </c>
      <c r="C859" t="s">
        <v>20</v>
      </c>
      <c r="D859" t="s">
        <v>12</v>
      </c>
      <c r="E859">
        <v>997</v>
      </c>
      <c r="F859">
        <v>1.25</v>
      </c>
      <c r="G859">
        <v>1.05</v>
      </c>
      <c r="H859">
        <v>1246.25</v>
      </c>
      <c r="I859">
        <v>1046.8499999999999</v>
      </c>
      <c r="J859">
        <v>199.39999999999901</v>
      </c>
      <c r="K859">
        <f>Table1[[#This Row],[Liters_Sold]]</f>
        <v>997</v>
      </c>
      <c r="L859">
        <f>Table1[[#This Row],[Delivery volume]]*0.05</f>
        <v>49.85</v>
      </c>
      <c r="M859" s="16">
        <f>Table1[[#This Row],[Delivery Cost]]/Table1[[#This Row],[Revenue]]</f>
        <v>0.04</v>
      </c>
      <c r="N859" t="str">
        <f t="shared" si="13"/>
        <v>Mar</v>
      </c>
    </row>
    <row r="860" spans="1:14" x14ac:dyDescent="0.2">
      <c r="A860" s="1">
        <v>45509</v>
      </c>
      <c r="B860" t="s">
        <v>25</v>
      </c>
      <c r="C860" t="s">
        <v>23</v>
      </c>
      <c r="D860" t="s">
        <v>18</v>
      </c>
      <c r="E860">
        <v>2256</v>
      </c>
      <c r="F860">
        <v>1.2</v>
      </c>
      <c r="G860">
        <v>1</v>
      </c>
      <c r="H860">
        <v>2707.2</v>
      </c>
      <c r="I860">
        <v>2256</v>
      </c>
      <c r="J860">
        <v>451.19999999999902</v>
      </c>
      <c r="K860">
        <f>Table1[[#This Row],[Liters_Sold]]</f>
        <v>2256</v>
      </c>
      <c r="L860">
        <f>Table1[[#This Row],[Delivery volume]]*0.05</f>
        <v>112.80000000000001</v>
      </c>
      <c r="M860" s="16">
        <f>Table1[[#This Row],[Delivery Cost]]/Table1[[#This Row],[Revenue]]</f>
        <v>4.1666666666666671E-2</v>
      </c>
      <c r="N860" t="str">
        <f t="shared" si="13"/>
        <v>Aug</v>
      </c>
    </row>
    <row r="861" spans="1:14" x14ac:dyDescent="0.2">
      <c r="A861" s="1">
        <v>45592</v>
      </c>
      <c r="B861" t="s">
        <v>19</v>
      </c>
      <c r="C861" t="s">
        <v>23</v>
      </c>
      <c r="D861" t="s">
        <v>12</v>
      </c>
      <c r="E861">
        <v>1617</v>
      </c>
      <c r="F861">
        <v>1.25</v>
      </c>
      <c r="G861">
        <v>1.05</v>
      </c>
      <c r="H861">
        <v>2021.25</v>
      </c>
      <c r="I861">
        <v>1697.85</v>
      </c>
      <c r="J861">
        <v>323.39999999999901</v>
      </c>
      <c r="K861">
        <f>Table1[[#This Row],[Liters_Sold]]</f>
        <v>1617</v>
      </c>
      <c r="L861">
        <f>Table1[[#This Row],[Delivery volume]]*0.05</f>
        <v>80.850000000000009</v>
      </c>
      <c r="M861" s="16">
        <f>Table1[[#This Row],[Delivery Cost]]/Table1[[#This Row],[Revenue]]</f>
        <v>0.04</v>
      </c>
      <c r="N861" t="str">
        <f t="shared" si="13"/>
        <v>Oct</v>
      </c>
    </row>
    <row r="862" spans="1:14" x14ac:dyDescent="0.2">
      <c r="A862" s="1">
        <v>45364</v>
      </c>
      <c r="B862" t="s">
        <v>25</v>
      </c>
      <c r="C862" t="s">
        <v>29</v>
      </c>
      <c r="D862" t="s">
        <v>12</v>
      </c>
      <c r="E862">
        <v>3909</v>
      </c>
      <c r="F862">
        <v>1.25</v>
      </c>
      <c r="G862">
        <v>1.05</v>
      </c>
      <c r="H862">
        <v>4886.25</v>
      </c>
      <c r="I862">
        <v>4104.45</v>
      </c>
      <c r="J862">
        <v>781.8</v>
      </c>
      <c r="K862">
        <f>Table1[[#This Row],[Liters_Sold]]</f>
        <v>3909</v>
      </c>
      <c r="L862">
        <f>Table1[[#This Row],[Delivery volume]]*0.05</f>
        <v>195.45000000000002</v>
      </c>
      <c r="M862" s="16">
        <f>Table1[[#This Row],[Delivery Cost]]/Table1[[#This Row],[Revenue]]</f>
        <v>0.04</v>
      </c>
      <c r="N862" t="str">
        <f t="shared" si="13"/>
        <v>Mar</v>
      </c>
    </row>
    <row r="863" spans="1:14" x14ac:dyDescent="0.2">
      <c r="A863" s="1">
        <v>45573</v>
      </c>
      <c r="B863" t="s">
        <v>30</v>
      </c>
      <c r="C863" t="s">
        <v>11</v>
      </c>
      <c r="D863" t="s">
        <v>12</v>
      </c>
      <c r="E863">
        <v>3328</v>
      </c>
      <c r="F863">
        <v>1.25</v>
      </c>
      <c r="G863">
        <v>1.05</v>
      </c>
      <c r="H863">
        <v>4160</v>
      </c>
      <c r="I863">
        <v>3494.4</v>
      </c>
      <c r="J863">
        <v>665.599999999999</v>
      </c>
      <c r="K863">
        <f>Table1[[#This Row],[Liters_Sold]]</f>
        <v>3328</v>
      </c>
      <c r="L863">
        <f>Table1[[#This Row],[Delivery volume]]*0.05</f>
        <v>166.4</v>
      </c>
      <c r="M863" s="16">
        <f>Table1[[#This Row],[Delivery Cost]]/Table1[[#This Row],[Revenue]]</f>
        <v>0.04</v>
      </c>
      <c r="N863" t="str">
        <f t="shared" si="13"/>
        <v>Oct</v>
      </c>
    </row>
    <row r="864" spans="1:14" x14ac:dyDescent="0.2">
      <c r="A864" s="1">
        <v>45540</v>
      </c>
      <c r="B864" t="s">
        <v>21</v>
      </c>
      <c r="C864" t="s">
        <v>23</v>
      </c>
      <c r="D864" t="s">
        <v>18</v>
      </c>
      <c r="E864">
        <v>5790</v>
      </c>
      <c r="F864">
        <v>1.2</v>
      </c>
      <c r="G864">
        <v>1</v>
      </c>
      <c r="H864">
        <v>6948</v>
      </c>
      <c r="I864">
        <v>5790</v>
      </c>
      <c r="J864">
        <v>1158</v>
      </c>
      <c r="K864">
        <f>Table1[[#This Row],[Liters_Sold]]</f>
        <v>5790</v>
      </c>
      <c r="L864">
        <f>Table1[[#This Row],[Delivery volume]]*0.05</f>
        <v>289.5</v>
      </c>
      <c r="M864" s="16">
        <f>Table1[[#This Row],[Delivery Cost]]/Table1[[#This Row],[Revenue]]</f>
        <v>4.1666666666666664E-2</v>
      </c>
      <c r="N864" t="str">
        <f t="shared" si="13"/>
        <v>Sep</v>
      </c>
    </row>
    <row r="865" spans="1:14" x14ac:dyDescent="0.2">
      <c r="A865" s="1">
        <v>45338</v>
      </c>
      <c r="B865" t="s">
        <v>16</v>
      </c>
      <c r="C865" t="s">
        <v>20</v>
      </c>
      <c r="D865" t="s">
        <v>12</v>
      </c>
      <c r="E865">
        <v>2147</v>
      </c>
      <c r="F865">
        <v>1.25</v>
      </c>
      <c r="G865">
        <v>1.05</v>
      </c>
      <c r="H865">
        <v>2683.75</v>
      </c>
      <c r="I865">
        <v>2254.35</v>
      </c>
      <c r="J865">
        <v>429.4</v>
      </c>
      <c r="K865">
        <f>Table1[[#This Row],[Liters_Sold]]</f>
        <v>2147</v>
      </c>
      <c r="L865">
        <f>Table1[[#This Row],[Delivery volume]]*0.05</f>
        <v>107.35000000000001</v>
      </c>
      <c r="M865" s="16">
        <f>Table1[[#This Row],[Delivery Cost]]/Table1[[#This Row],[Revenue]]</f>
        <v>0.04</v>
      </c>
      <c r="N865" t="str">
        <f t="shared" si="13"/>
        <v>Feb</v>
      </c>
    </row>
    <row r="866" spans="1:14" x14ac:dyDescent="0.2">
      <c r="A866" s="1">
        <v>45412</v>
      </c>
      <c r="B866" t="s">
        <v>16</v>
      </c>
      <c r="C866" t="s">
        <v>17</v>
      </c>
      <c r="D866" t="s">
        <v>12</v>
      </c>
      <c r="E866">
        <v>3483</v>
      </c>
      <c r="F866">
        <v>1.25</v>
      </c>
      <c r="G866">
        <v>1.05</v>
      </c>
      <c r="H866">
        <v>4353.75</v>
      </c>
      <c r="I866">
        <v>3657.15</v>
      </c>
      <c r="J866">
        <v>696.599999999999</v>
      </c>
      <c r="K866">
        <f>Table1[[#This Row],[Liters_Sold]]</f>
        <v>3483</v>
      </c>
      <c r="L866">
        <f>Table1[[#This Row],[Delivery volume]]*0.05</f>
        <v>174.15</v>
      </c>
      <c r="M866" s="16">
        <f>Table1[[#This Row],[Delivery Cost]]/Table1[[#This Row],[Revenue]]</f>
        <v>0.04</v>
      </c>
      <c r="N866" t="str">
        <f t="shared" si="13"/>
        <v>Apr</v>
      </c>
    </row>
    <row r="867" spans="1:14" x14ac:dyDescent="0.2">
      <c r="A867" s="1">
        <v>45505</v>
      </c>
      <c r="B867" t="s">
        <v>31</v>
      </c>
      <c r="C867" t="s">
        <v>17</v>
      </c>
      <c r="D867" t="s">
        <v>14</v>
      </c>
      <c r="E867">
        <v>642</v>
      </c>
      <c r="F867">
        <v>0.9</v>
      </c>
      <c r="G867">
        <v>0.7</v>
      </c>
      <c r="H867">
        <v>577.79999999999995</v>
      </c>
      <c r="I867">
        <v>449.4</v>
      </c>
      <c r="J867">
        <v>128.4</v>
      </c>
      <c r="K867">
        <f>Table1[[#This Row],[Liters_Sold]]</f>
        <v>642</v>
      </c>
      <c r="L867">
        <f>Table1[[#This Row],[Delivery volume]]*0.05</f>
        <v>32.1</v>
      </c>
      <c r="M867" s="16">
        <f>Table1[[#This Row],[Delivery Cost]]/Table1[[#This Row],[Revenue]]</f>
        <v>5.5555555555555559E-2</v>
      </c>
      <c r="N867" t="str">
        <f t="shared" si="13"/>
        <v>Aug</v>
      </c>
    </row>
    <row r="868" spans="1:14" x14ac:dyDescent="0.2">
      <c r="A868" s="1">
        <v>45530</v>
      </c>
      <c r="B868" t="s">
        <v>15</v>
      </c>
      <c r="C868" t="s">
        <v>17</v>
      </c>
      <c r="D868" t="s">
        <v>12</v>
      </c>
      <c r="E868">
        <v>5820</v>
      </c>
      <c r="F868">
        <v>1.25</v>
      </c>
      <c r="G868">
        <v>1.05</v>
      </c>
      <c r="H868">
        <v>7275</v>
      </c>
      <c r="I868">
        <v>6111</v>
      </c>
      <c r="J868">
        <v>1164</v>
      </c>
      <c r="K868">
        <f>Table1[[#This Row],[Liters_Sold]]</f>
        <v>5820</v>
      </c>
      <c r="L868">
        <f>Table1[[#This Row],[Delivery volume]]*0.05</f>
        <v>291</v>
      </c>
      <c r="M868" s="16">
        <f>Table1[[#This Row],[Delivery Cost]]/Table1[[#This Row],[Revenue]]</f>
        <v>0.04</v>
      </c>
      <c r="N868" t="str">
        <f t="shared" si="13"/>
        <v>Aug</v>
      </c>
    </row>
    <row r="869" spans="1:14" x14ac:dyDescent="0.2">
      <c r="A869" s="1">
        <v>45347</v>
      </c>
      <c r="B869" t="s">
        <v>16</v>
      </c>
      <c r="C869" t="s">
        <v>11</v>
      </c>
      <c r="D869" t="s">
        <v>12</v>
      </c>
      <c r="E869">
        <v>3261</v>
      </c>
      <c r="F869">
        <v>1.25</v>
      </c>
      <c r="G869">
        <v>1.05</v>
      </c>
      <c r="H869">
        <v>4076.25</v>
      </c>
      <c r="I869">
        <v>3424.05</v>
      </c>
      <c r="J869">
        <v>652.19999999999902</v>
      </c>
      <c r="K869">
        <f>Table1[[#This Row],[Liters_Sold]]</f>
        <v>3261</v>
      </c>
      <c r="L869">
        <f>Table1[[#This Row],[Delivery volume]]*0.05</f>
        <v>163.05000000000001</v>
      </c>
      <c r="M869" s="16">
        <f>Table1[[#This Row],[Delivery Cost]]/Table1[[#This Row],[Revenue]]</f>
        <v>0.04</v>
      </c>
      <c r="N869" t="str">
        <f t="shared" si="13"/>
        <v>Feb</v>
      </c>
    </row>
    <row r="870" spans="1:14" x14ac:dyDescent="0.2">
      <c r="A870" s="1">
        <v>45641</v>
      </c>
      <c r="B870" t="s">
        <v>15</v>
      </c>
      <c r="C870" t="s">
        <v>29</v>
      </c>
      <c r="D870" t="s">
        <v>12</v>
      </c>
      <c r="E870">
        <v>3935</v>
      </c>
      <c r="F870">
        <v>1.25</v>
      </c>
      <c r="G870">
        <v>1.05</v>
      </c>
      <c r="H870">
        <v>4918.75</v>
      </c>
      <c r="I870">
        <v>4131.75</v>
      </c>
      <c r="J870">
        <v>787</v>
      </c>
      <c r="K870">
        <f>Table1[[#This Row],[Liters_Sold]]</f>
        <v>3935</v>
      </c>
      <c r="L870">
        <f>Table1[[#This Row],[Delivery volume]]*0.05</f>
        <v>196.75</v>
      </c>
      <c r="M870" s="16">
        <f>Table1[[#This Row],[Delivery Cost]]/Table1[[#This Row],[Revenue]]</f>
        <v>0.04</v>
      </c>
      <c r="N870" t="str">
        <f t="shared" si="13"/>
        <v>Dec</v>
      </c>
    </row>
    <row r="871" spans="1:14" x14ac:dyDescent="0.2">
      <c r="A871" s="1">
        <v>45398</v>
      </c>
      <c r="B871" t="s">
        <v>31</v>
      </c>
      <c r="C871" t="s">
        <v>20</v>
      </c>
      <c r="D871" t="s">
        <v>14</v>
      </c>
      <c r="E871">
        <v>5160</v>
      </c>
      <c r="F871">
        <v>0.9</v>
      </c>
      <c r="G871">
        <v>0.7</v>
      </c>
      <c r="H871">
        <v>4644</v>
      </c>
      <c r="I871">
        <v>3611.99999999999</v>
      </c>
      <c r="J871">
        <v>1032</v>
      </c>
      <c r="K871">
        <f>Table1[[#This Row],[Liters_Sold]]</f>
        <v>5160</v>
      </c>
      <c r="L871">
        <f>Table1[[#This Row],[Delivery volume]]*0.05</f>
        <v>258</v>
      </c>
      <c r="M871" s="16">
        <f>Table1[[#This Row],[Delivery Cost]]/Table1[[#This Row],[Revenue]]</f>
        <v>5.5555555555555552E-2</v>
      </c>
      <c r="N871" t="str">
        <f t="shared" si="13"/>
        <v>Apr</v>
      </c>
    </row>
    <row r="872" spans="1:14" x14ac:dyDescent="0.2">
      <c r="A872" s="1">
        <v>45610</v>
      </c>
      <c r="B872" t="s">
        <v>27</v>
      </c>
      <c r="C872" t="s">
        <v>11</v>
      </c>
      <c r="D872" t="s">
        <v>18</v>
      </c>
      <c r="E872">
        <v>2931</v>
      </c>
      <c r="F872">
        <v>1.2</v>
      </c>
      <c r="G872">
        <v>1</v>
      </c>
      <c r="H872">
        <v>3517.2</v>
      </c>
      <c r="I872">
        <v>2931</v>
      </c>
      <c r="J872">
        <v>586.19999999999902</v>
      </c>
      <c r="K872">
        <f>Table1[[#This Row],[Liters_Sold]]</f>
        <v>2931</v>
      </c>
      <c r="L872">
        <f>Table1[[#This Row],[Delivery volume]]*0.05</f>
        <v>146.55000000000001</v>
      </c>
      <c r="M872" s="16">
        <f>Table1[[#This Row],[Delivery Cost]]/Table1[[#This Row],[Revenue]]</f>
        <v>4.1666666666666671E-2</v>
      </c>
      <c r="N872" t="str">
        <f t="shared" si="13"/>
        <v>Nov</v>
      </c>
    </row>
    <row r="873" spans="1:14" x14ac:dyDescent="0.2">
      <c r="A873" s="1">
        <v>45339</v>
      </c>
      <c r="B873" t="s">
        <v>26</v>
      </c>
      <c r="C873" t="s">
        <v>20</v>
      </c>
      <c r="D873" t="s">
        <v>12</v>
      </c>
      <c r="E873">
        <v>5012</v>
      </c>
      <c r="F873">
        <v>1.25</v>
      </c>
      <c r="G873">
        <v>1.05</v>
      </c>
      <c r="H873">
        <v>6265</v>
      </c>
      <c r="I873">
        <v>5262.6</v>
      </c>
      <c r="J873">
        <v>1002.39999999999</v>
      </c>
      <c r="K873">
        <f>Table1[[#This Row],[Liters_Sold]]</f>
        <v>5012</v>
      </c>
      <c r="L873">
        <f>Table1[[#This Row],[Delivery volume]]*0.05</f>
        <v>250.60000000000002</v>
      </c>
      <c r="M873" s="16">
        <f>Table1[[#This Row],[Delivery Cost]]/Table1[[#This Row],[Revenue]]</f>
        <v>0.04</v>
      </c>
      <c r="N873" t="str">
        <f t="shared" si="13"/>
        <v>Feb</v>
      </c>
    </row>
    <row r="874" spans="1:14" x14ac:dyDescent="0.2">
      <c r="A874" s="1">
        <v>45352</v>
      </c>
      <c r="B874" t="s">
        <v>13</v>
      </c>
      <c r="C874" t="s">
        <v>20</v>
      </c>
      <c r="D874" t="s">
        <v>18</v>
      </c>
      <c r="E874">
        <v>2348</v>
      </c>
      <c r="F874">
        <v>1.2</v>
      </c>
      <c r="G874">
        <v>1</v>
      </c>
      <c r="H874">
        <v>2817.6</v>
      </c>
      <c r="I874">
        <v>2348</v>
      </c>
      <c r="J874">
        <v>469.599999999999</v>
      </c>
      <c r="K874">
        <f>Table1[[#This Row],[Liters_Sold]]</f>
        <v>2348</v>
      </c>
      <c r="L874">
        <f>Table1[[#This Row],[Delivery volume]]*0.05</f>
        <v>117.4</v>
      </c>
      <c r="M874" s="16">
        <f>Table1[[#This Row],[Delivery Cost]]/Table1[[#This Row],[Revenue]]</f>
        <v>4.1666666666666671E-2</v>
      </c>
      <c r="N874" t="str">
        <f t="shared" si="13"/>
        <v>Mar</v>
      </c>
    </row>
    <row r="875" spans="1:14" x14ac:dyDescent="0.2">
      <c r="A875" s="1">
        <v>45628</v>
      </c>
      <c r="B875" t="s">
        <v>10</v>
      </c>
      <c r="C875" t="s">
        <v>29</v>
      </c>
      <c r="D875" t="s">
        <v>18</v>
      </c>
      <c r="E875">
        <v>3196</v>
      </c>
      <c r="F875">
        <v>1.2</v>
      </c>
      <c r="G875">
        <v>1</v>
      </c>
      <c r="H875">
        <v>3835.2</v>
      </c>
      <c r="I875">
        <v>3196</v>
      </c>
      <c r="J875">
        <v>639.19999999999902</v>
      </c>
      <c r="K875">
        <f>Table1[[#This Row],[Liters_Sold]]</f>
        <v>3196</v>
      </c>
      <c r="L875">
        <f>Table1[[#This Row],[Delivery volume]]*0.05</f>
        <v>159.80000000000001</v>
      </c>
      <c r="M875" s="16">
        <f>Table1[[#This Row],[Delivery Cost]]/Table1[[#This Row],[Revenue]]</f>
        <v>4.1666666666666671E-2</v>
      </c>
      <c r="N875" t="str">
        <f t="shared" si="13"/>
        <v>Dec</v>
      </c>
    </row>
    <row r="876" spans="1:14" x14ac:dyDescent="0.2">
      <c r="A876" s="1">
        <v>45317</v>
      </c>
      <c r="B876" t="s">
        <v>16</v>
      </c>
      <c r="C876" t="s">
        <v>17</v>
      </c>
      <c r="D876" t="s">
        <v>12</v>
      </c>
      <c r="E876">
        <v>2217</v>
      </c>
      <c r="F876">
        <v>1.25</v>
      </c>
      <c r="G876">
        <v>1.05</v>
      </c>
      <c r="H876">
        <v>2771.25</v>
      </c>
      <c r="I876">
        <v>2327.85</v>
      </c>
      <c r="J876">
        <v>443.4</v>
      </c>
      <c r="K876">
        <f>Table1[[#This Row],[Liters_Sold]]</f>
        <v>2217</v>
      </c>
      <c r="L876">
        <f>Table1[[#This Row],[Delivery volume]]*0.05</f>
        <v>110.85000000000001</v>
      </c>
      <c r="M876" s="16">
        <f>Table1[[#This Row],[Delivery Cost]]/Table1[[#This Row],[Revenue]]</f>
        <v>0.04</v>
      </c>
      <c r="N876" t="str">
        <f t="shared" si="13"/>
        <v>Jan</v>
      </c>
    </row>
    <row r="877" spans="1:14" x14ac:dyDescent="0.2">
      <c r="A877" s="1">
        <v>45583</v>
      </c>
      <c r="B877" t="s">
        <v>22</v>
      </c>
      <c r="C877" t="s">
        <v>29</v>
      </c>
      <c r="D877" t="s">
        <v>18</v>
      </c>
      <c r="E877">
        <v>5986</v>
      </c>
      <c r="F877">
        <v>1.2</v>
      </c>
      <c r="G877">
        <v>1</v>
      </c>
      <c r="H877">
        <v>7183.2</v>
      </c>
      <c r="I877">
        <v>5986</v>
      </c>
      <c r="J877">
        <v>1197.19999999999</v>
      </c>
      <c r="K877">
        <f>Table1[[#This Row],[Liters_Sold]]</f>
        <v>5986</v>
      </c>
      <c r="L877">
        <f>Table1[[#This Row],[Delivery volume]]*0.05</f>
        <v>299.3</v>
      </c>
      <c r="M877" s="16">
        <f>Table1[[#This Row],[Delivery Cost]]/Table1[[#This Row],[Revenue]]</f>
        <v>4.1666666666666671E-2</v>
      </c>
      <c r="N877" t="str">
        <f t="shared" si="13"/>
        <v>Oct</v>
      </c>
    </row>
    <row r="878" spans="1:14" x14ac:dyDescent="0.2">
      <c r="A878" s="1">
        <v>45548</v>
      </c>
      <c r="B878" t="s">
        <v>30</v>
      </c>
      <c r="C878" t="s">
        <v>11</v>
      </c>
      <c r="D878" t="s">
        <v>18</v>
      </c>
      <c r="E878">
        <v>3572</v>
      </c>
      <c r="F878">
        <v>1.2</v>
      </c>
      <c r="G878">
        <v>1</v>
      </c>
      <c r="H878">
        <v>4286.3999999999996</v>
      </c>
      <c r="I878">
        <v>3572</v>
      </c>
      <c r="J878">
        <v>714.39999999999895</v>
      </c>
      <c r="K878">
        <f>Table1[[#This Row],[Liters_Sold]]</f>
        <v>3572</v>
      </c>
      <c r="L878">
        <f>Table1[[#This Row],[Delivery volume]]*0.05</f>
        <v>178.60000000000002</v>
      </c>
      <c r="M878" s="16">
        <f>Table1[[#This Row],[Delivery Cost]]/Table1[[#This Row],[Revenue]]</f>
        <v>4.1666666666666678E-2</v>
      </c>
      <c r="N878" t="str">
        <f t="shared" si="13"/>
        <v>Sep</v>
      </c>
    </row>
    <row r="879" spans="1:14" x14ac:dyDescent="0.2">
      <c r="A879" s="1">
        <v>45299</v>
      </c>
      <c r="B879" t="s">
        <v>28</v>
      </c>
      <c r="C879" t="s">
        <v>11</v>
      </c>
      <c r="D879" t="s">
        <v>18</v>
      </c>
      <c r="E879">
        <v>1567</v>
      </c>
      <c r="F879">
        <v>1.2</v>
      </c>
      <c r="G879">
        <v>1</v>
      </c>
      <c r="H879">
        <v>1880.3999999999901</v>
      </c>
      <c r="I879">
        <v>1567</v>
      </c>
      <c r="J879">
        <v>313.39999999999901</v>
      </c>
      <c r="K879">
        <f>Table1[[#This Row],[Liters_Sold]]</f>
        <v>1567</v>
      </c>
      <c r="L879">
        <f>Table1[[#This Row],[Delivery volume]]*0.05</f>
        <v>78.350000000000009</v>
      </c>
      <c r="M879" s="16">
        <f>Table1[[#This Row],[Delivery Cost]]/Table1[[#This Row],[Revenue]]</f>
        <v>4.1666666666666893E-2</v>
      </c>
      <c r="N879" t="str">
        <f t="shared" si="13"/>
        <v>Jan</v>
      </c>
    </row>
    <row r="880" spans="1:14" x14ac:dyDescent="0.2">
      <c r="A880" s="1">
        <v>45404</v>
      </c>
      <c r="B880" t="s">
        <v>27</v>
      </c>
      <c r="C880" t="s">
        <v>11</v>
      </c>
      <c r="D880" t="s">
        <v>12</v>
      </c>
      <c r="E880">
        <v>3286</v>
      </c>
      <c r="F880">
        <v>1.25</v>
      </c>
      <c r="G880">
        <v>1.05</v>
      </c>
      <c r="H880">
        <v>4107.5</v>
      </c>
      <c r="I880">
        <v>3450.3</v>
      </c>
      <c r="J880">
        <v>657.19999999999902</v>
      </c>
      <c r="K880">
        <f>Table1[[#This Row],[Liters_Sold]]</f>
        <v>3286</v>
      </c>
      <c r="L880">
        <f>Table1[[#This Row],[Delivery volume]]*0.05</f>
        <v>164.3</v>
      </c>
      <c r="M880" s="16">
        <f>Table1[[#This Row],[Delivery Cost]]/Table1[[#This Row],[Revenue]]</f>
        <v>0.04</v>
      </c>
      <c r="N880" t="str">
        <f t="shared" si="13"/>
        <v>Apr</v>
      </c>
    </row>
    <row r="881" spans="1:14" x14ac:dyDescent="0.2">
      <c r="A881" s="1">
        <v>45646</v>
      </c>
      <c r="B881" t="s">
        <v>16</v>
      </c>
      <c r="C881" t="s">
        <v>29</v>
      </c>
      <c r="D881" t="s">
        <v>14</v>
      </c>
      <c r="E881">
        <v>5717</v>
      </c>
      <c r="F881">
        <v>0.9</v>
      </c>
      <c r="G881">
        <v>0.7</v>
      </c>
      <c r="H881">
        <v>5145.3</v>
      </c>
      <c r="I881">
        <v>4001.8999999999901</v>
      </c>
      <c r="J881">
        <v>1143.4000000000001</v>
      </c>
      <c r="K881">
        <f>Table1[[#This Row],[Liters_Sold]]</f>
        <v>5717</v>
      </c>
      <c r="L881">
        <f>Table1[[#This Row],[Delivery volume]]*0.05</f>
        <v>285.85000000000002</v>
      </c>
      <c r="M881" s="16">
        <f>Table1[[#This Row],[Delivery Cost]]/Table1[[#This Row],[Revenue]]</f>
        <v>5.5555555555555559E-2</v>
      </c>
      <c r="N881" t="str">
        <f t="shared" si="13"/>
        <v>Dec</v>
      </c>
    </row>
    <row r="882" spans="1:14" x14ac:dyDescent="0.2">
      <c r="A882" s="1">
        <v>45544</v>
      </c>
      <c r="B882" t="s">
        <v>15</v>
      </c>
      <c r="C882" t="s">
        <v>20</v>
      </c>
      <c r="D882" t="s">
        <v>18</v>
      </c>
      <c r="E882">
        <v>4291</v>
      </c>
      <c r="F882">
        <v>1.2</v>
      </c>
      <c r="G882">
        <v>1</v>
      </c>
      <c r="H882">
        <v>5149.2</v>
      </c>
      <c r="I882">
        <v>4291</v>
      </c>
      <c r="J882">
        <v>858.19999999999902</v>
      </c>
      <c r="K882">
        <f>Table1[[#This Row],[Liters_Sold]]</f>
        <v>4291</v>
      </c>
      <c r="L882">
        <f>Table1[[#This Row],[Delivery volume]]*0.05</f>
        <v>214.55</v>
      </c>
      <c r="M882" s="16">
        <f>Table1[[#This Row],[Delivery Cost]]/Table1[[#This Row],[Revenue]]</f>
        <v>4.1666666666666671E-2</v>
      </c>
      <c r="N882" t="str">
        <f t="shared" si="13"/>
        <v>Sep</v>
      </c>
    </row>
    <row r="883" spans="1:14" x14ac:dyDescent="0.2">
      <c r="A883" s="1">
        <v>45471</v>
      </c>
      <c r="B883" t="s">
        <v>26</v>
      </c>
      <c r="C883" t="s">
        <v>20</v>
      </c>
      <c r="D883" t="s">
        <v>12</v>
      </c>
      <c r="E883">
        <v>1788</v>
      </c>
      <c r="F883">
        <v>1.25</v>
      </c>
      <c r="G883">
        <v>1.05</v>
      </c>
      <c r="H883">
        <v>2235</v>
      </c>
      <c r="I883">
        <v>1877.4</v>
      </c>
      <c r="J883">
        <v>357.599999999999</v>
      </c>
      <c r="K883">
        <f>Table1[[#This Row],[Liters_Sold]]</f>
        <v>1788</v>
      </c>
      <c r="L883">
        <f>Table1[[#This Row],[Delivery volume]]*0.05</f>
        <v>89.4</v>
      </c>
      <c r="M883" s="16">
        <f>Table1[[#This Row],[Delivery Cost]]/Table1[[#This Row],[Revenue]]</f>
        <v>0.04</v>
      </c>
      <c r="N883" t="str">
        <f t="shared" si="13"/>
        <v>Jun</v>
      </c>
    </row>
    <row r="884" spans="1:14" x14ac:dyDescent="0.2">
      <c r="A884" s="1">
        <v>45498</v>
      </c>
      <c r="B884" t="s">
        <v>31</v>
      </c>
      <c r="C884" t="s">
        <v>23</v>
      </c>
      <c r="D884" t="s">
        <v>12</v>
      </c>
      <c r="E884">
        <v>4371</v>
      </c>
      <c r="F884">
        <v>1.25</v>
      </c>
      <c r="G884">
        <v>1.05</v>
      </c>
      <c r="H884">
        <v>5463.75</v>
      </c>
      <c r="I884">
        <v>4589.55</v>
      </c>
      <c r="J884">
        <v>874.19999999999902</v>
      </c>
      <c r="K884">
        <f>Table1[[#This Row],[Liters_Sold]]</f>
        <v>4371</v>
      </c>
      <c r="L884">
        <f>Table1[[#This Row],[Delivery volume]]*0.05</f>
        <v>218.55</v>
      </c>
      <c r="M884" s="16">
        <f>Table1[[#This Row],[Delivery Cost]]/Table1[[#This Row],[Revenue]]</f>
        <v>0.04</v>
      </c>
      <c r="N884" t="str">
        <f t="shared" si="13"/>
        <v>Jul</v>
      </c>
    </row>
    <row r="885" spans="1:14" x14ac:dyDescent="0.2">
      <c r="A885" s="1">
        <v>45594</v>
      </c>
      <c r="B885" t="s">
        <v>19</v>
      </c>
      <c r="C885" t="s">
        <v>11</v>
      </c>
      <c r="D885" t="s">
        <v>12</v>
      </c>
      <c r="E885">
        <v>2306</v>
      </c>
      <c r="F885">
        <v>1.25</v>
      </c>
      <c r="G885">
        <v>1.05</v>
      </c>
      <c r="H885">
        <v>2882.5</v>
      </c>
      <c r="I885">
        <v>2421.3000000000002</v>
      </c>
      <c r="J885">
        <v>461.19999999999902</v>
      </c>
      <c r="K885">
        <f>Table1[[#This Row],[Liters_Sold]]</f>
        <v>2306</v>
      </c>
      <c r="L885">
        <f>Table1[[#This Row],[Delivery volume]]*0.05</f>
        <v>115.30000000000001</v>
      </c>
      <c r="M885" s="16">
        <f>Table1[[#This Row],[Delivery Cost]]/Table1[[#This Row],[Revenue]]</f>
        <v>0.04</v>
      </c>
      <c r="N885" t="str">
        <f t="shared" si="13"/>
        <v>Oct</v>
      </c>
    </row>
    <row r="886" spans="1:14" x14ac:dyDescent="0.2">
      <c r="A886" s="1">
        <v>45418</v>
      </c>
      <c r="B886" t="s">
        <v>10</v>
      </c>
      <c r="C886" t="s">
        <v>20</v>
      </c>
      <c r="D886" t="s">
        <v>12</v>
      </c>
      <c r="E886">
        <v>2004</v>
      </c>
      <c r="F886">
        <v>1.25</v>
      </c>
      <c r="G886">
        <v>1.05</v>
      </c>
      <c r="H886">
        <v>2505</v>
      </c>
      <c r="I886">
        <v>2104.1999999999998</v>
      </c>
      <c r="J886">
        <v>400.79999999999899</v>
      </c>
      <c r="K886">
        <f>Table1[[#This Row],[Liters_Sold]]</f>
        <v>2004</v>
      </c>
      <c r="L886">
        <f>Table1[[#This Row],[Delivery volume]]*0.05</f>
        <v>100.2</v>
      </c>
      <c r="M886" s="16">
        <f>Table1[[#This Row],[Delivery Cost]]/Table1[[#This Row],[Revenue]]</f>
        <v>0.04</v>
      </c>
      <c r="N886" t="str">
        <f t="shared" si="13"/>
        <v>May</v>
      </c>
    </row>
    <row r="887" spans="1:14" x14ac:dyDescent="0.2">
      <c r="A887" s="1">
        <v>45347</v>
      </c>
      <c r="B887" t="s">
        <v>28</v>
      </c>
      <c r="C887" t="s">
        <v>23</v>
      </c>
      <c r="D887" t="s">
        <v>18</v>
      </c>
      <c r="E887">
        <v>3808</v>
      </c>
      <c r="F887">
        <v>1.2</v>
      </c>
      <c r="G887">
        <v>1</v>
      </c>
      <c r="H887">
        <v>4569.5999999999904</v>
      </c>
      <c r="I887">
        <v>3808</v>
      </c>
      <c r="J887">
        <v>761.599999999999</v>
      </c>
      <c r="K887">
        <f>Table1[[#This Row],[Liters_Sold]]</f>
        <v>3808</v>
      </c>
      <c r="L887">
        <f>Table1[[#This Row],[Delivery volume]]*0.05</f>
        <v>190.4</v>
      </c>
      <c r="M887" s="16">
        <f>Table1[[#This Row],[Delivery Cost]]/Table1[[#This Row],[Revenue]]</f>
        <v>4.1666666666666755E-2</v>
      </c>
      <c r="N887" t="str">
        <f t="shared" si="13"/>
        <v>Feb</v>
      </c>
    </row>
    <row r="888" spans="1:14" x14ac:dyDescent="0.2">
      <c r="A888" s="1">
        <v>45505</v>
      </c>
      <c r="B888" t="s">
        <v>26</v>
      </c>
      <c r="C888" t="s">
        <v>20</v>
      </c>
      <c r="D888" t="s">
        <v>12</v>
      </c>
      <c r="E888">
        <v>5612</v>
      </c>
      <c r="F888">
        <v>1.25</v>
      </c>
      <c r="G888">
        <v>1.05</v>
      </c>
      <c r="H888">
        <v>7015</v>
      </c>
      <c r="I888">
        <v>5892.6</v>
      </c>
      <c r="J888">
        <v>1122.3999999999901</v>
      </c>
      <c r="K888">
        <f>Table1[[#This Row],[Liters_Sold]]</f>
        <v>5612</v>
      </c>
      <c r="L888">
        <f>Table1[[#This Row],[Delivery volume]]*0.05</f>
        <v>280.60000000000002</v>
      </c>
      <c r="M888" s="16">
        <f>Table1[[#This Row],[Delivery Cost]]/Table1[[#This Row],[Revenue]]</f>
        <v>0.04</v>
      </c>
      <c r="N888" t="str">
        <f t="shared" si="13"/>
        <v>Aug</v>
      </c>
    </row>
    <row r="889" spans="1:14" x14ac:dyDescent="0.2">
      <c r="A889" s="1">
        <v>45305</v>
      </c>
      <c r="B889" t="s">
        <v>26</v>
      </c>
      <c r="C889" t="s">
        <v>11</v>
      </c>
      <c r="D889" t="s">
        <v>12</v>
      </c>
      <c r="E889">
        <v>5548</v>
      </c>
      <c r="F889">
        <v>1.25</v>
      </c>
      <c r="G889">
        <v>1.05</v>
      </c>
      <c r="H889">
        <v>6935</v>
      </c>
      <c r="I889">
        <v>5825.4</v>
      </c>
      <c r="J889">
        <v>1109.5999999999899</v>
      </c>
      <c r="K889">
        <f>Table1[[#This Row],[Liters_Sold]]</f>
        <v>5548</v>
      </c>
      <c r="L889">
        <f>Table1[[#This Row],[Delivery volume]]*0.05</f>
        <v>277.40000000000003</v>
      </c>
      <c r="M889" s="16">
        <f>Table1[[#This Row],[Delivery Cost]]/Table1[[#This Row],[Revenue]]</f>
        <v>4.0000000000000008E-2</v>
      </c>
      <c r="N889" t="str">
        <f t="shared" si="13"/>
        <v>Jan</v>
      </c>
    </row>
    <row r="890" spans="1:14" x14ac:dyDescent="0.2">
      <c r="A890" s="1">
        <v>45319</v>
      </c>
      <c r="B890" t="s">
        <v>16</v>
      </c>
      <c r="C890" t="s">
        <v>17</v>
      </c>
      <c r="D890" t="s">
        <v>18</v>
      </c>
      <c r="E890">
        <v>3451</v>
      </c>
      <c r="F890">
        <v>1.2</v>
      </c>
      <c r="G890">
        <v>1</v>
      </c>
      <c r="H890">
        <v>4141.2</v>
      </c>
      <c r="I890">
        <v>3451</v>
      </c>
      <c r="J890">
        <v>690.19999999999902</v>
      </c>
      <c r="K890">
        <f>Table1[[#This Row],[Liters_Sold]]</f>
        <v>3451</v>
      </c>
      <c r="L890">
        <f>Table1[[#This Row],[Delivery volume]]*0.05</f>
        <v>172.55</v>
      </c>
      <c r="M890" s="16">
        <f>Table1[[#This Row],[Delivery Cost]]/Table1[[#This Row],[Revenue]]</f>
        <v>4.1666666666666671E-2</v>
      </c>
      <c r="N890" t="str">
        <f t="shared" si="13"/>
        <v>Jan</v>
      </c>
    </row>
    <row r="891" spans="1:14" x14ac:dyDescent="0.2">
      <c r="A891" s="1">
        <v>45369</v>
      </c>
      <c r="B891" t="s">
        <v>27</v>
      </c>
      <c r="C891" t="s">
        <v>11</v>
      </c>
      <c r="D891" t="s">
        <v>12</v>
      </c>
      <c r="E891">
        <v>571</v>
      </c>
      <c r="F891">
        <v>1.25</v>
      </c>
      <c r="G891">
        <v>1.05</v>
      </c>
      <c r="H891">
        <v>713.75</v>
      </c>
      <c r="I891">
        <v>599.54999999999995</v>
      </c>
      <c r="J891">
        <v>114.19999999999899</v>
      </c>
      <c r="K891">
        <f>Table1[[#This Row],[Liters_Sold]]</f>
        <v>571</v>
      </c>
      <c r="L891">
        <f>Table1[[#This Row],[Delivery volume]]*0.05</f>
        <v>28.55</v>
      </c>
      <c r="M891" s="16">
        <f>Table1[[#This Row],[Delivery Cost]]/Table1[[#This Row],[Revenue]]</f>
        <v>0.04</v>
      </c>
      <c r="N891" t="str">
        <f t="shared" si="13"/>
        <v>Mar</v>
      </c>
    </row>
    <row r="892" spans="1:14" x14ac:dyDescent="0.2">
      <c r="A892" s="1">
        <v>45507</v>
      </c>
      <c r="B892" t="s">
        <v>32</v>
      </c>
      <c r="C892" t="s">
        <v>29</v>
      </c>
      <c r="D892" t="s">
        <v>14</v>
      </c>
      <c r="E892">
        <v>2190</v>
      </c>
      <c r="F892">
        <v>0.9</v>
      </c>
      <c r="G892">
        <v>0.7</v>
      </c>
      <c r="H892">
        <v>1971</v>
      </c>
      <c r="I892">
        <v>1533</v>
      </c>
      <c r="J892">
        <v>438</v>
      </c>
      <c r="K892">
        <f>Table1[[#This Row],[Liters_Sold]]</f>
        <v>2190</v>
      </c>
      <c r="L892">
        <f>Table1[[#This Row],[Delivery volume]]*0.05</f>
        <v>109.5</v>
      </c>
      <c r="M892" s="16">
        <f>Table1[[#This Row],[Delivery Cost]]/Table1[[#This Row],[Revenue]]</f>
        <v>5.5555555555555552E-2</v>
      </c>
      <c r="N892" t="str">
        <f t="shared" si="13"/>
        <v>Aug</v>
      </c>
    </row>
    <row r="893" spans="1:14" x14ac:dyDescent="0.2">
      <c r="A893" s="1">
        <v>45656</v>
      </c>
      <c r="B893" t="s">
        <v>28</v>
      </c>
      <c r="C893" t="s">
        <v>20</v>
      </c>
      <c r="D893" t="s">
        <v>12</v>
      </c>
      <c r="E893">
        <v>5887</v>
      </c>
      <c r="F893">
        <v>1.25</v>
      </c>
      <c r="G893">
        <v>1.05</v>
      </c>
      <c r="H893">
        <v>7358.75</v>
      </c>
      <c r="I893">
        <v>6181.35</v>
      </c>
      <c r="J893">
        <v>1177.3999999999901</v>
      </c>
      <c r="K893">
        <f>Table1[[#This Row],[Liters_Sold]]</f>
        <v>5887</v>
      </c>
      <c r="L893">
        <f>Table1[[#This Row],[Delivery volume]]*0.05</f>
        <v>294.35000000000002</v>
      </c>
      <c r="M893" s="16">
        <f>Table1[[#This Row],[Delivery Cost]]/Table1[[#This Row],[Revenue]]</f>
        <v>0.04</v>
      </c>
      <c r="N893" t="str">
        <f t="shared" si="13"/>
        <v>Dec</v>
      </c>
    </row>
    <row r="894" spans="1:14" x14ac:dyDescent="0.2">
      <c r="A894" s="1">
        <v>45445</v>
      </c>
      <c r="B894" t="s">
        <v>10</v>
      </c>
      <c r="C894" t="s">
        <v>20</v>
      </c>
      <c r="D894" t="s">
        <v>12</v>
      </c>
      <c r="E894">
        <v>1844</v>
      </c>
      <c r="F894">
        <v>1.25</v>
      </c>
      <c r="G894">
        <v>1.05</v>
      </c>
      <c r="H894">
        <v>2305</v>
      </c>
      <c r="I894">
        <v>1936.2</v>
      </c>
      <c r="J894">
        <v>368.79999999999899</v>
      </c>
      <c r="K894">
        <f>Table1[[#This Row],[Liters_Sold]]</f>
        <v>1844</v>
      </c>
      <c r="L894">
        <f>Table1[[#This Row],[Delivery volume]]*0.05</f>
        <v>92.2</v>
      </c>
      <c r="M894" s="16">
        <f>Table1[[#This Row],[Delivery Cost]]/Table1[[#This Row],[Revenue]]</f>
        <v>0.04</v>
      </c>
      <c r="N894" t="str">
        <f t="shared" si="13"/>
        <v>Jun</v>
      </c>
    </row>
    <row r="895" spans="1:14" x14ac:dyDescent="0.2">
      <c r="A895" s="1">
        <v>45305</v>
      </c>
      <c r="B895" t="s">
        <v>24</v>
      </c>
      <c r="C895" t="s">
        <v>29</v>
      </c>
      <c r="D895" t="s">
        <v>12</v>
      </c>
      <c r="E895">
        <v>3803</v>
      </c>
      <c r="F895">
        <v>1.25</v>
      </c>
      <c r="G895">
        <v>1.05</v>
      </c>
      <c r="H895">
        <v>4753.75</v>
      </c>
      <c r="I895">
        <v>3993.15</v>
      </c>
      <c r="J895">
        <v>760.599999999999</v>
      </c>
      <c r="K895">
        <f>Table1[[#This Row],[Liters_Sold]]</f>
        <v>3803</v>
      </c>
      <c r="L895">
        <f>Table1[[#This Row],[Delivery volume]]*0.05</f>
        <v>190.15</v>
      </c>
      <c r="M895" s="16">
        <f>Table1[[#This Row],[Delivery Cost]]/Table1[[#This Row],[Revenue]]</f>
        <v>0.04</v>
      </c>
      <c r="N895" t="str">
        <f t="shared" si="13"/>
        <v>Jan</v>
      </c>
    </row>
    <row r="896" spans="1:14" x14ac:dyDescent="0.2">
      <c r="A896" s="1">
        <v>45478</v>
      </c>
      <c r="B896" t="s">
        <v>13</v>
      </c>
      <c r="C896" t="s">
        <v>29</v>
      </c>
      <c r="D896" t="s">
        <v>12</v>
      </c>
      <c r="E896">
        <v>3613</v>
      </c>
      <c r="F896">
        <v>1.25</v>
      </c>
      <c r="G896">
        <v>1.05</v>
      </c>
      <c r="H896">
        <v>4516.25</v>
      </c>
      <c r="I896">
        <v>3793.65</v>
      </c>
      <c r="J896">
        <v>722.599999999999</v>
      </c>
      <c r="K896">
        <f>Table1[[#This Row],[Liters_Sold]]</f>
        <v>3613</v>
      </c>
      <c r="L896">
        <f>Table1[[#This Row],[Delivery volume]]*0.05</f>
        <v>180.65</v>
      </c>
      <c r="M896" s="16">
        <f>Table1[[#This Row],[Delivery Cost]]/Table1[[#This Row],[Revenue]]</f>
        <v>0.04</v>
      </c>
      <c r="N896" t="str">
        <f t="shared" si="13"/>
        <v>Jul</v>
      </c>
    </row>
    <row r="897" spans="1:14" x14ac:dyDescent="0.2">
      <c r="A897" s="1">
        <v>45603</v>
      </c>
      <c r="B897" t="s">
        <v>24</v>
      </c>
      <c r="C897" t="s">
        <v>17</v>
      </c>
      <c r="D897" t="s">
        <v>12</v>
      </c>
      <c r="E897">
        <v>1382</v>
      </c>
      <c r="F897">
        <v>1.25</v>
      </c>
      <c r="G897">
        <v>1.05</v>
      </c>
      <c r="H897">
        <v>1727.5</v>
      </c>
      <c r="I897">
        <v>1451.1</v>
      </c>
      <c r="J897">
        <v>276.39999999999901</v>
      </c>
      <c r="K897">
        <f>Table1[[#This Row],[Liters_Sold]]</f>
        <v>1382</v>
      </c>
      <c r="L897">
        <f>Table1[[#This Row],[Delivery volume]]*0.05</f>
        <v>69.100000000000009</v>
      </c>
      <c r="M897" s="16">
        <f>Table1[[#This Row],[Delivery Cost]]/Table1[[#This Row],[Revenue]]</f>
        <v>4.0000000000000008E-2</v>
      </c>
      <c r="N897" t="str">
        <f t="shared" si="13"/>
        <v>Nov</v>
      </c>
    </row>
    <row r="898" spans="1:14" x14ac:dyDescent="0.2">
      <c r="A898" s="1">
        <v>45298</v>
      </c>
      <c r="B898" t="s">
        <v>32</v>
      </c>
      <c r="C898" t="s">
        <v>20</v>
      </c>
      <c r="D898" t="s">
        <v>18</v>
      </c>
      <c r="E898">
        <v>4734</v>
      </c>
      <c r="F898">
        <v>1.2</v>
      </c>
      <c r="G898">
        <v>1</v>
      </c>
      <c r="H898">
        <v>5680.8</v>
      </c>
      <c r="I898">
        <v>4734</v>
      </c>
      <c r="J898">
        <v>946.8</v>
      </c>
      <c r="K898">
        <f>Table1[[#This Row],[Liters_Sold]]</f>
        <v>4734</v>
      </c>
      <c r="L898">
        <f>Table1[[#This Row],[Delivery volume]]*0.05</f>
        <v>236.70000000000002</v>
      </c>
      <c r="M898" s="16">
        <f>Table1[[#This Row],[Delivery Cost]]/Table1[[#This Row],[Revenue]]</f>
        <v>4.1666666666666671E-2</v>
      </c>
      <c r="N898" t="str">
        <f t="shared" ref="N898:N961" si="14">TEXT(A898,"mmm")</f>
        <v>Jan</v>
      </c>
    </row>
    <row r="899" spans="1:14" x14ac:dyDescent="0.2">
      <c r="A899" s="1">
        <v>45294</v>
      </c>
      <c r="B899" t="s">
        <v>15</v>
      </c>
      <c r="C899" t="s">
        <v>20</v>
      </c>
      <c r="D899" t="s">
        <v>14</v>
      </c>
      <c r="E899">
        <v>3162</v>
      </c>
      <c r="F899">
        <v>0.9</v>
      </c>
      <c r="G899">
        <v>0.7</v>
      </c>
      <c r="H899">
        <v>2845.8</v>
      </c>
      <c r="I899">
        <v>2213.3999999999901</v>
      </c>
      <c r="J899">
        <v>632.4</v>
      </c>
      <c r="K899">
        <f>Table1[[#This Row],[Liters_Sold]]</f>
        <v>3162</v>
      </c>
      <c r="L899">
        <f>Table1[[#This Row],[Delivery volume]]*0.05</f>
        <v>158.10000000000002</v>
      </c>
      <c r="M899" s="16">
        <f>Table1[[#This Row],[Delivery Cost]]/Table1[[#This Row],[Revenue]]</f>
        <v>5.5555555555555559E-2</v>
      </c>
      <c r="N899" t="str">
        <f t="shared" si="14"/>
        <v>Jan</v>
      </c>
    </row>
    <row r="900" spans="1:14" x14ac:dyDescent="0.2">
      <c r="A900" s="1">
        <v>45402</v>
      </c>
      <c r="B900" t="s">
        <v>15</v>
      </c>
      <c r="C900" t="s">
        <v>17</v>
      </c>
      <c r="D900" t="s">
        <v>12</v>
      </c>
      <c r="E900">
        <v>2004</v>
      </c>
      <c r="F900">
        <v>1.25</v>
      </c>
      <c r="G900">
        <v>1.05</v>
      </c>
      <c r="H900">
        <v>2505</v>
      </c>
      <c r="I900">
        <v>2104.1999999999998</v>
      </c>
      <c r="J900">
        <v>400.79999999999899</v>
      </c>
      <c r="K900">
        <f>Table1[[#This Row],[Liters_Sold]]</f>
        <v>2004</v>
      </c>
      <c r="L900">
        <f>Table1[[#This Row],[Delivery volume]]*0.05</f>
        <v>100.2</v>
      </c>
      <c r="M900" s="16">
        <f>Table1[[#This Row],[Delivery Cost]]/Table1[[#This Row],[Revenue]]</f>
        <v>0.04</v>
      </c>
      <c r="N900" t="str">
        <f t="shared" si="14"/>
        <v>Apr</v>
      </c>
    </row>
    <row r="901" spans="1:14" x14ac:dyDescent="0.2">
      <c r="A901" s="1">
        <v>45529</v>
      </c>
      <c r="B901" t="s">
        <v>30</v>
      </c>
      <c r="C901" t="s">
        <v>23</v>
      </c>
      <c r="D901" t="s">
        <v>18</v>
      </c>
      <c r="E901">
        <v>2963</v>
      </c>
      <c r="F901">
        <v>1.2</v>
      </c>
      <c r="G901">
        <v>1</v>
      </c>
      <c r="H901">
        <v>3555.6</v>
      </c>
      <c r="I901">
        <v>2963</v>
      </c>
      <c r="J901">
        <v>592.599999999999</v>
      </c>
      <c r="K901">
        <f>Table1[[#This Row],[Liters_Sold]]</f>
        <v>2963</v>
      </c>
      <c r="L901">
        <f>Table1[[#This Row],[Delivery volume]]*0.05</f>
        <v>148.15</v>
      </c>
      <c r="M901" s="16">
        <f>Table1[[#This Row],[Delivery Cost]]/Table1[[#This Row],[Revenue]]</f>
        <v>4.1666666666666671E-2</v>
      </c>
      <c r="N901" t="str">
        <f t="shared" si="14"/>
        <v>Aug</v>
      </c>
    </row>
    <row r="902" spans="1:14" x14ac:dyDescent="0.2">
      <c r="A902" s="1">
        <v>45654</v>
      </c>
      <c r="B902" t="s">
        <v>28</v>
      </c>
      <c r="C902" t="s">
        <v>17</v>
      </c>
      <c r="D902" t="s">
        <v>18</v>
      </c>
      <c r="E902">
        <v>3053</v>
      </c>
      <c r="F902">
        <v>1.2</v>
      </c>
      <c r="G902">
        <v>1</v>
      </c>
      <c r="H902">
        <v>3663.6</v>
      </c>
      <c r="I902">
        <v>3053</v>
      </c>
      <c r="J902">
        <v>610.599999999999</v>
      </c>
      <c r="K902">
        <f>Table1[[#This Row],[Liters_Sold]]</f>
        <v>3053</v>
      </c>
      <c r="L902">
        <f>Table1[[#This Row],[Delivery volume]]*0.05</f>
        <v>152.65</v>
      </c>
      <c r="M902" s="16">
        <f>Table1[[#This Row],[Delivery Cost]]/Table1[[#This Row],[Revenue]]</f>
        <v>4.1666666666666671E-2</v>
      </c>
      <c r="N902" t="str">
        <f t="shared" si="14"/>
        <v>Dec</v>
      </c>
    </row>
    <row r="903" spans="1:14" x14ac:dyDescent="0.2">
      <c r="A903" s="1">
        <v>45530</v>
      </c>
      <c r="B903" t="s">
        <v>24</v>
      </c>
      <c r="C903" t="s">
        <v>11</v>
      </c>
      <c r="D903" t="s">
        <v>18</v>
      </c>
      <c r="E903">
        <v>1232</v>
      </c>
      <c r="F903">
        <v>1.2</v>
      </c>
      <c r="G903">
        <v>1</v>
      </c>
      <c r="H903">
        <v>1478.3999999999901</v>
      </c>
      <c r="I903">
        <v>1232</v>
      </c>
      <c r="J903">
        <v>246.39999999999901</v>
      </c>
      <c r="K903">
        <f>Table1[[#This Row],[Liters_Sold]]</f>
        <v>1232</v>
      </c>
      <c r="L903">
        <f>Table1[[#This Row],[Delivery volume]]*0.05</f>
        <v>61.6</v>
      </c>
      <c r="M903" s="16">
        <f>Table1[[#This Row],[Delivery Cost]]/Table1[[#This Row],[Revenue]]</f>
        <v>4.1666666666666949E-2</v>
      </c>
      <c r="N903" t="str">
        <f t="shared" si="14"/>
        <v>Aug</v>
      </c>
    </row>
    <row r="904" spans="1:14" x14ac:dyDescent="0.2">
      <c r="A904" s="1">
        <v>45565</v>
      </c>
      <c r="B904" t="s">
        <v>15</v>
      </c>
      <c r="C904" t="s">
        <v>20</v>
      </c>
      <c r="D904" t="s">
        <v>12</v>
      </c>
      <c r="E904">
        <v>2248</v>
      </c>
      <c r="F904">
        <v>1.25</v>
      </c>
      <c r="G904">
        <v>1.05</v>
      </c>
      <c r="H904">
        <v>2810</v>
      </c>
      <c r="I904">
        <v>2360.4</v>
      </c>
      <c r="J904">
        <v>449.599999999999</v>
      </c>
      <c r="K904">
        <f>Table1[[#This Row],[Liters_Sold]]</f>
        <v>2248</v>
      </c>
      <c r="L904">
        <f>Table1[[#This Row],[Delivery volume]]*0.05</f>
        <v>112.4</v>
      </c>
      <c r="M904" s="16">
        <f>Table1[[#This Row],[Delivery Cost]]/Table1[[#This Row],[Revenue]]</f>
        <v>0.04</v>
      </c>
      <c r="N904" t="str">
        <f t="shared" si="14"/>
        <v>Sep</v>
      </c>
    </row>
    <row r="905" spans="1:14" x14ac:dyDescent="0.2">
      <c r="A905" s="1">
        <v>45585</v>
      </c>
      <c r="B905" t="s">
        <v>32</v>
      </c>
      <c r="C905" t="s">
        <v>29</v>
      </c>
      <c r="D905" t="s">
        <v>12</v>
      </c>
      <c r="E905">
        <v>4424</v>
      </c>
      <c r="F905">
        <v>1.25</v>
      </c>
      <c r="G905">
        <v>1.05</v>
      </c>
      <c r="H905">
        <v>5530</v>
      </c>
      <c r="I905">
        <v>4645.2</v>
      </c>
      <c r="J905">
        <v>884.8</v>
      </c>
      <c r="K905">
        <f>Table1[[#This Row],[Liters_Sold]]</f>
        <v>4424</v>
      </c>
      <c r="L905">
        <f>Table1[[#This Row],[Delivery volume]]*0.05</f>
        <v>221.20000000000002</v>
      </c>
      <c r="M905" s="16">
        <f>Table1[[#This Row],[Delivery Cost]]/Table1[[#This Row],[Revenue]]</f>
        <v>0.04</v>
      </c>
      <c r="N905" t="str">
        <f t="shared" si="14"/>
        <v>Oct</v>
      </c>
    </row>
    <row r="906" spans="1:14" x14ac:dyDescent="0.2">
      <c r="A906" s="1">
        <v>45518</v>
      </c>
      <c r="B906" t="s">
        <v>16</v>
      </c>
      <c r="C906" t="s">
        <v>11</v>
      </c>
      <c r="D906" t="s">
        <v>12</v>
      </c>
      <c r="E906">
        <v>923</v>
      </c>
      <c r="F906">
        <v>1.25</v>
      </c>
      <c r="G906">
        <v>1.05</v>
      </c>
      <c r="H906">
        <v>1153.75</v>
      </c>
      <c r="I906">
        <v>969.15</v>
      </c>
      <c r="J906">
        <v>184.599999999999</v>
      </c>
      <c r="K906">
        <f>Table1[[#This Row],[Liters_Sold]]</f>
        <v>923</v>
      </c>
      <c r="L906">
        <f>Table1[[#This Row],[Delivery volume]]*0.05</f>
        <v>46.150000000000006</v>
      </c>
      <c r="M906" s="16">
        <f>Table1[[#This Row],[Delivery Cost]]/Table1[[#This Row],[Revenue]]</f>
        <v>4.0000000000000008E-2</v>
      </c>
      <c r="N906" t="str">
        <f t="shared" si="14"/>
        <v>Aug</v>
      </c>
    </row>
    <row r="907" spans="1:14" x14ac:dyDescent="0.2">
      <c r="A907" s="1">
        <v>45306</v>
      </c>
      <c r="B907" t="s">
        <v>21</v>
      </c>
      <c r="C907" t="s">
        <v>20</v>
      </c>
      <c r="D907" t="s">
        <v>18</v>
      </c>
      <c r="E907">
        <v>3978</v>
      </c>
      <c r="F907">
        <v>1.2</v>
      </c>
      <c r="G907">
        <v>1</v>
      </c>
      <c r="H907">
        <v>4773.5999999999904</v>
      </c>
      <c r="I907">
        <v>3978</v>
      </c>
      <c r="J907">
        <v>795.599999999999</v>
      </c>
      <c r="K907">
        <f>Table1[[#This Row],[Liters_Sold]]</f>
        <v>3978</v>
      </c>
      <c r="L907">
        <f>Table1[[#This Row],[Delivery volume]]*0.05</f>
        <v>198.9</v>
      </c>
      <c r="M907" s="16">
        <f>Table1[[#This Row],[Delivery Cost]]/Table1[[#This Row],[Revenue]]</f>
        <v>4.1666666666666755E-2</v>
      </c>
      <c r="N907" t="str">
        <f t="shared" si="14"/>
        <v>Jan</v>
      </c>
    </row>
    <row r="908" spans="1:14" x14ac:dyDescent="0.2">
      <c r="A908" s="1">
        <v>45483</v>
      </c>
      <c r="B908" t="s">
        <v>31</v>
      </c>
      <c r="C908" t="s">
        <v>17</v>
      </c>
      <c r="D908" t="s">
        <v>18</v>
      </c>
      <c r="E908">
        <v>2091</v>
      </c>
      <c r="F908">
        <v>1.2</v>
      </c>
      <c r="G908">
        <v>1</v>
      </c>
      <c r="H908">
        <v>2509.1999999999998</v>
      </c>
      <c r="I908">
        <v>2091</v>
      </c>
      <c r="J908">
        <v>418.19999999999902</v>
      </c>
      <c r="K908">
        <f>Table1[[#This Row],[Liters_Sold]]</f>
        <v>2091</v>
      </c>
      <c r="L908">
        <f>Table1[[#This Row],[Delivery volume]]*0.05</f>
        <v>104.55000000000001</v>
      </c>
      <c r="M908" s="16">
        <f>Table1[[#This Row],[Delivery Cost]]/Table1[[#This Row],[Revenue]]</f>
        <v>4.1666666666666671E-2</v>
      </c>
      <c r="N908" t="str">
        <f t="shared" si="14"/>
        <v>Jul</v>
      </c>
    </row>
    <row r="909" spans="1:14" x14ac:dyDescent="0.2">
      <c r="A909" s="1">
        <v>45410</v>
      </c>
      <c r="B909" t="s">
        <v>21</v>
      </c>
      <c r="C909" t="s">
        <v>11</v>
      </c>
      <c r="D909" t="s">
        <v>12</v>
      </c>
      <c r="E909">
        <v>4985</v>
      </c>
      <c r="F909">
        <v>1.25</v>
      </c>
      <c r="G909">
        <v>1.05</v>
      </c>
      <c r="H909">
        <v>6231.25</v>
      </c>
      <c r="I909">
        <v>5234.25</v>
      </c>
      <c r="J909">
        <v>997</v>
      </c>
      <c r="K909">
        <f>Table1[[#This Row],[Liters_Sold]]</f>
        <v>4985</v>
      </c>
      <c r="L909">
        <f>Table1[[#This Row],[Delivery volume]]*0.05</f>
        <v>249.25</v>
      </c>
      <c r="M909" s="16">
        <f>Table1[[#This Row],[Delivery Cost]]/Table1[[#This Row],[Revenue]]</f>
        <v>0.04</v>
      </c>
      <c r="N909" t="str">
        <f t="shared" si="14"/>
        <v>Apr</v>
      </c>
    </row>
    <row r="910" spans="1:14" x14ac:dyDescent="0.2">
      <c r="A910" s="1">
        <v>45319</v>
      </c>
      <c r="B910" t="s">
        <v>25</v>
      </c>
      <c r="C910" t="s">
        <v>20</v>
      </c>
      <c r="D910" t="s">
        <v>12</v>
      </c>
      <c r="E910">
        <v>4937</v>
      </c>
      <c r="F910">
        <v>1.25</v>
      </c>
      <c r="G910">
        <v>1.05</v>
      </c>
      <c r="H910">
        <v>6171.25</v>
      </c>
      <c r="I910">
        <v>5183.8500000000004</v>
      </c>
      <c r="J910">
        <v>987.39999999999895</v>
      </c>
      <c r="K910">
        <f>Table1[[#This Row],[Liters_Sold]]</f>
        <v>4937</v>
      </c>
      <c r="L910">
        <f>Table1[[#This Row],[Delivery volume]]*0.05</f>
        <v>246.85000000000002</v>
      </c>
      <c r="M910" s="16">
        <f>Table1[[#This Row],[Delivery Cost]]/Table1[[#This Row],[Revenue]]</f>
        <v>0.04</v>
      </c>
      <c r="N910" t="str">
        <f t="shared" si="14"/>
        <v>Jan</v>
      </c>
    </row>
    <row r="911" spans="1:14" x14ac:dyDescent="0.2">
      <c r="A911" s="1">
        <v>45493</v>
      </c>
      <c r="B911" t="s">
        <v>10</v>
      </c>
      <c r="C911" t="s">
        <v>23</v>
      </c>
      <c r="D911" t="s">
        <v>14</v>
      </c>
      <c r="E911">
        <v>5541</v>
      </c>
      <c r="F911">
        <v>0.9</v>
      </c>
      <c r="G911">
        <v>0.7</v>
      </c>
      <c r="H911">
        <v>4986.8999999999996</v>
      </c>
      <c r="I911">
        <v>3878.7</v>
      </c>
      <c r="J911">
        <v>1108.2</v>
      </c>
      <c r="K911">
        <f>Table1[[#This Row],[Liters_Sold]]</f>
        <v>5541</v>
      </c>
      <c r="L911">
        <f>Table1[[#This Row],[Delivery volume]]*0.05</f>
        <v>277.05</v>
      </c>
      <c r="M911" s="16">
        <f>Table1[[#This Row],[Delivery Cost]]/Table1[[#This Row],[Revenue]]</f>
        <v>5.5555555555555559E-2</v>
      </c>
      <c r="N911" t="str">
        <f t="shared" si="14"/>
        <v>Jul</v>
      </c>
    </row>
    <row r="912" spans="1:14" x14ac:dyDescent="0.2">
      <c r="A912" s="1">
        <v>45330</v>
      </c>
      <c r="B912" t="s">
        <v>24</v>
      </c>
      <c r="C912" t="s">
        <v>23</v>
      </c>
      <c r="D912" t="s">
        <v>18</v>
      </c>
      <c r="E912">
        <v>5209</v>
      </c>
      <c r="F912">
        <v>1.2</v>
      </c>
      <c r="G912">
        <v>1</v>
      </c>
      <c r="H912">
        <v>6250.8</v>
      </c>
      <c r="I912">
        <v>5209</v>
      </c>
      <c r="J912">
        <v>1041.8</v>
      </c>
      <c r="K912">
        <f>Table1[[#This Row],[Liters_Sold]]</f>
        <v>5209</v>
      </c>
      <c r="L912">
        <f>Table1[[#This Row],[Delivery volume]]*0.05</f>
        <v>260.45</v>
      </c>
      <c r="M912" s="16">
        <f>Table1[[#This Row],[Delivery Cost]]/Table1[[#This Row],[Revenue]]</f>
        <v>4.1666666666666664E-2</v>
      </c>
      <c r="N912" t="str">
        <f t="shared" si="14"/>
        <v>Feb</v>
      </c>
    </row>
    <row r="913" spans="1:14" x14ac:dyDescent="0.2">
      <c r="A913" s="1">
        <v>45564</v>
      </c>
      <c r="B913" t="s">
        <v>30</v>
      </c>
      <c r="C913" t="s">
        <v>29</v>
      </c>
      <c r="D913" t="s">
        <v>14</v>
      </c>
      <c r="E913">
        <v>992</v>
      </c>
      <c r="F913">
        <v>0.9</v>
      </c>
      <c r="G913">
        <v>0.7</v>
      </c>
      <c r="H913">
        <v>892.8</v>
      </c>
      <c r="I913">
        <v>694.4</v>
      </c>
      <c r="J913">
        <v>198.4</v>
      </c>
      <c r="K913">
        <f>Table1[[#This Row],[Liters_Sold]]</f>
        <v>992</v>
      </c>
      <c r="L913">
        <f>Table1[[#This Row],[Delivery volume]]*0.05</f>
        <v>49.6</v>
      </c>
      <c r="M913" s="16">
        <f>Table1[[#This Row],[Delivery Cost]]/Table1[[#This Row],[Revenue]]</f>
        <v>5.5555555555555559E-2</v>
      </c>
      <c r="N913" t="str">
        <f t="shared" si="14"/>
        <v>Sep</v>
      </c>
    </row>
    <row r="914" spans="1:14" x14ac:dyDescent="0.2">
      <c r="A914" s="1">
        <v>45522</v>
      </c>
      <c r="B914" t="s">
        <v>25</v>
      </c>
      <c r="C914" t="s">
        <v>20</v>
      </c>
      <c r="D914" t="s">
        <v>18</v>
      </c>
      <c r="E914">
        <v>691</v>
      </c>
      <c r="F914">
        <v>1.2</v>
      </c>
      <c r="G914">
        <v>1</v>
      </c>
      <c r="H914">
        <v>829.19999999999902</v>
      </c>
      <c r="I914">
        <v>691</v>
      </c>
      <c r="J914">
        <v>138.19999999999899</v>
      </c>
      <c r="K914">
        <f>Table1[[#This Row],[Liters_Sold]]</f>
        <v>691</v>
      </c>
      <c r="L914">
        <f>Table1[[#This Row],[Delivery volume]]*0.05</f>
        <v>34.550000000000004</v>
      </c>
      <c r="M914" s="16">
        <f>Table1[[#This Row],[Delivery Cost]]/Table1[[#This Row],[Revenue]]</f>
        <v>4.166666666666672E-2</v>
      </c>
      <c r="N914" t="str">
        <f t="shared" si="14"/>
        <v>Aug</v>
      </c>
    </row>
    <row r="915" spans="1:14" x14ac:dyDescent="0.2">
      <c r="A915" s="1">
        <v>45377</v>
      </c>
      <c r="B915" t="s">
        <v>15</v>
      </c>
      <c r="C915" t="s">
        <v>23</v>
      </c>
      <c r="D915" t="s">
        <v>12</v>
      </c>
      <c r="E915">
        <v>998</v>
      </c>
      <c r="F915">
        <v>1.25</v>
      </c>
      <c r="G915">
        <v>1.05</v>
      </c>
      <c r="H915">
        <v>1247.5</v>
      </c>
      <c r="I915">
        <v>1047.9000000000001</v>
      </c>
      <c r="J915">
        <v>199.599999999999</v>
      </c>
      <c r="K915">
        <f>Table1[[#This Row],[Liters_Sold]]</f>
        <v>998</v>
      </c>
      <c r="L915">
        <f>Table1[[#This Row],[Delivery volume]]*0.05</f>
        <v>49.900000000000006</v>
      </c>
      <c r="M915" s="16">
        <f>Table1[[#This Row],[Delivery Cost]]/Table1[[#This Row],[Revenue]]</f>
        <v>4.0000000000000008E-2</v>
      </c>
      <c r="N915" t="str">
        <f t="shared" si="14"/>
        <v>Mar</v>
      </c>
    </row>
    <row r="916" spans="1:14" x14ac:dyDescent="0.2">
      <c r="A916" s="1">
        <v>45417</v>
      </c>
      <c r="B916" t="s">
        <v>19</v>
      </c>
      <c r="C916" t="s">
        <v>17</v>
      </c>
      <c r="D916" t="s">
        <v>18</v>
      </c>
      <c r="E916">
        <v>5417</v>
      </c>
      <c r="F916">
        <v>1.2</v>
      </c>
      <c r="G916">
        <v>1</v>
      </c>
      <c r="H916">
        <v>6500.4</v>
      </c>
      <c r="I916">
        <v>5417</v>
      </c>
      <c r="J916">
        <v>1083.3999999999901</v>
      </c>
      <c r="K916">
        <f>Table1[[#This Row],[Liters_Sold]]</f>
        <v>5417</v>
      </c>
      <c r="L916">
        <f>Table1[[#This Row],[Delivery volume]]*0.05</f>
        <v>270.85000000000002</v>
      </c>
      <c r="M916" s="16">
        <f>Table1[[#This Row],[Delivery Cost]]/Table1[[#This Row],[Revenue]]</f>
        <v>4.1666666666666671E-2</v>
      </c>
      <c r="N916" t="str">
        <f t="shared" si="14"/>
        <v>May</v>
      </c>
    </row>
    <row r="917" spans="1:14" x14ac:dyDescent="0.2">
      <c r="A917" s="1">
        <v>45591</v>
      </c>
      <c r="B917" t="s">
        <v>22</v>
      </c>
      <c r="C917" t="s">
        <v>20</v>
      </c>
      <c r="D917" t="s">
        <v>18</v>
      </c>
      <c r="E917">
        <v>1756</v>
      </c>
      <c r="F917">
        <v>1.2</v>
      </c>
      <c r="G917">
        <v>1</v>
      </c>
      <c r="H917">
        <v>2107.1999999999998</v>
      </c>
      <c r="I917">
        <v>1756</v>
      </c>
      <c r="J917">
        <v>351.19999999999902</v>
      </c>
      <c r="K917">
        <f>Table1[[#This Row],[Liters_Sold]]</f>
        <v>1756</v>
      </c>
      <c r="L917">
        <f>Table1[[#This Row],[Delivery volume]]*0.05</f>
        <v>87.800000000000011</v>
      </c>
      <c r="M917" s="16">
        <f>Table1[[#This Row],[Delivery Cost]]/Table1[[#This Row],[Revenue]]</f>
        <v>4.1666666666666678E-2</v>
      </c>
      <c r="N917" t="str">
        <f t="shared" si="14"/>
        <v>Oct</v>
      </c>
    </row>
    <row r="918" spans="1:14" x14ac:dyDescent="0.2">
      <c r="A918" s="1">
        <v>45316</v>
      </c>
      <c r="B918" t="s">
        <v>19</v>
      </c>
      <c r="C918" t="s">
        <v>17</v>
      </c>
      <c r="D918" t="s">
        <v>12</v>
      </c>
      <c r="E918">
        <v>2468</v>
      </c>
      <c r="F918">
        <v>1.25</v>
      </c>
      <c r="G918">
        <v>1.05</v>
      </c>
      <c r="H918">
        <v>3085</v>
      </c>
      <c r="I918">
        <v>2591.4</v>
      </c>
      <c r="J918">
        <v>493.599999999999</v>
      </c>
      <c r="K918">
        <f>Table1[[#This Row],[Liters_Sold]]</f>
        <v>2468</v>
      </c>
      <c r="L918">
        <f>Table1[[#This Row],[Delivery volume]]*0.05</f>
        <v>123.4</v>
      </c>
      <c r="M918" s="16">
        <f>Table1[[#This Row],[Delivery Cost]]/Table1[[#This Row],[Revenue]]</f>
        <v>0.04</v>
      </c>
      <c r="N918" t="str">
        <f t="shared" si="14"/>
        <v>Jan</v>
      </c>
    </row>
    <row r="919" spans="1:14" x14ac:dyDescent="0.2">
      <c r="A919" s="1">
        <v>45436</v>
      </c>
      <c r="B919" t="s">
        <v>32</v>
      </c>
      <c r="C919" t="s">
        <v>17</v>
      </c>
      <c r="D919" t="s">
        <v>18</v>
      </c>
      <c r="E919">
        <v>4822</v>
      </c>
      <c r="F919">
        <v>1.2</v>
      </c>
      <c r="G919">
        <v>1</v>
      </c>
      <c r="H919">
        <v>5786.4</v>
      </c>
      <c r="I919">
        <v>4822</v>
      </c>
      <c r="J919">
        <v>964.39999999999895</v>
      </c>
      <c r="K919">
        <f>Table1[[#This Row],[Liters_Sold]]</f>
        <v>4822</v>
      </c>
      <c r="L919">
        <f>Table1[[#This Row],[Delivery volume]]*0.05</f>
        <v>241.10000000000002</v>
      </c>
      <c r="M919" s="16">
        <f>Table1[[#This Row],[Delivery Cost]]/Table1[[#This Row],[Revenue]]</f>
        <v>4.1666666666666671E-2</v>
      </c>
      <c r="N919" t="str">
        <f t="shared" si="14"/>
        <v>May</v>
      </c>
    </row>
    <row r="920" spans="1:14" x14ac:dyDescent="0.2">
      <c r="A920" s="1">
        <v>45304</v>
      </c>
      <c r="B920" t="s">
        <v>28</v>
      </c>
      <c r="C920" t="s">
        <v>23</v>
      </c>
      <c r="D920" t="s">
        <v>18</v>
      </c>
      <c r="E920">
        <v>5990</v>
      </c>
      <c r="F920">
        <v>1.2</v>
      </c>
      <c r="G920">
        <v>1</v>
      </c>
      <c r="H920">
        <v>7188</v>
      </c>
      <c r="I920">
        <v>5990</v>
      </c>
      <c r="J920">
        <v>1198</v>
      </c>
      <c r="K920">
        <f>Table1[[#This Row],[Liters_Sold]]</f>
        <v>5990</v>
      </c>
      <c r="L920">
        <f>Table1[[#This Row],[Delivery volume]]*0.05</f>
        <v>299.5</v>
      </c>
      <c r="M920" s="16">
        <f>Table1[[#This Row],[Delivery Cost]]/Table1[[#This Row],[Revenue]]</f>
        <v>4.1666666666666664E-2</v>
      </c>
      <c r="N920" t="str">
        <f t="shared" si="14"/>
        <v>Jan</v>
      </c>
    </row>
    <row r="921" spans="1:14" x14ac:dyDescent="0.2">
      <c r="A921" s="1">
        <v>45503</v>
      </c>
      <c r="B921" t="s">
        <v>26</v>
      </c>
      <c r="C921" t="s">
        <v>20</v>
      </c>
      <c r="D921" t="s">
        <v>12</v>
      </c>
      <c r="E921">
        <v>2686</v>
      </c>
      <c r="F921">
        <v>1.25</v>
      </c>
      <c r="G921">
        <v>1.05</v>
      </c>
      <c r="H921">
        <v>3357.5</v>
      </c>
      <c r="I921">
        <v>2820.3</v>
      </c>
      <c r="J921">
        <v>537.19999999999902</v>
      </c>
      <c r="K921">
        <f>Table1[[#This Row],[Liters_Sold]]</f>
        <v>2686</v>
      </c>
      <c r="L921">
        <f>Table1[[#This Row],[Delivery volume]]*0.05</f>
        <v>134.30000000000001</v>
      </c>
      <c r="M921" s="16">
        <f>Table1[[#This Row],[Delivery Cost]]/Table1[[#This Row],[Revenue]]</f>
        <v>0.04</v>
      </c>
      <c r="N921" t="str">
        <f t="shared" si="14"/>
        <v>Jul</v>
      </c>
    </row>
    <row r="922" spans="1:14" x14ac:dyDescent="0.2">
      <c r="A922" s="1">
        <v>45316</v>
      </c>
      <c r="B922" t="s">
        <v>31</v>
      </c>
      <c r="C922" t="s">
        <v>11</v>
      </c>
      <c r="D922" t="s">
        <v>18</v>
      </c>
      <c r="E922">
        <v>1316</v>
      </c>
      <c r="F922">
        <v>1.2</v>
      </c>
      <c r="G922">
        <v>1</v>
      </c>
      <c r="H922">
        <v>1579.2</v>
      </c>
      <c r="I922">
        <v>1316</v>
      </c>
      <c r="J922">
        <v>263.2</v>
      </c>
      <c r="K922">
        <f>Table1[[#This Row],[Liters_Sold]]</f>
        <v>1316</v>
      </c>
      <c r="L922">
        <f>Table1[[#This Row],[Delivery volume]]*0.05</f>
        <v>65.8</v>
      </c>
      <c r="M922" s="16">
        <f>Table1[[#This Row],[Delivery Cost]]/Table1[[#This Row],[Revenue]]</f>
        <v>4.1666666666666664E-2</v>
      </c>
      <c r="N922" t="str">
        <f t="shared" si="14"/>
        <v>Jan</v>
      </c>
    </row>
    <row r="923" spans="1:14" x14ac:dyDescent="0.2">
      <c r="A923" s="1">
        <v>45359</v>
      </c>
      <c r="B923" t="s">
        <v>24</v>
      </c>
      <c r="C923" t="s">
        <v>23</v>
      </c>
      <c r="D923" t="s">
        <v>18</v>
      </c>
      <c r="E923">
        <v>3720</v>
      </c>
      <c r="F923">
        <v>1.2</v>
      </c>
      <c r="G923">
        <v>1</v>
      </c>
      <c r="H923">
        <v>4464</v>
      </c>
      <c r="I923">
        <v>3720</v>
      </c>
      <c r="J923">
        <v>744</v>
      </c>
      <c r="K923">
        <f>Table1[[#This Row],[Liters_Sold]]</f>
        <v>3720</v>
      </c>
      <c r="L923">
        <f>Table1[[#This Row],[Delivery volume]]*0.05</f>
        <v>186</v>
      </c>
      <c r="M923" s="16">
        <f>Table1[[#This Row],[Delivery Cost]]/Table1[[#This Row],[Revenue]]</f>
        <v>4.1666666666666664E-2</v>
      </c>
      <c r="N923" t="str">
        <f t="shared" si="14"/>
        <v>Mar</v>
      </c>
    </row>
    <row r="924" spans="1:14" x14ac:dyDescent="0.2">
      <c r="A924" s="1">
        <v>45358</v>
      </c>
      <c r="B924" t="s">
        <v>10</v>
      </c>
      <c r="C924" t="s">
        <v>23</v>
      </c>
      <c r="D924" t="s">
        <v>14</v>
      </c>
      <c r="E924">
        <v>1973</v>
      </c>
      <c r="F924">
        <v>0.9</v>
      </c>
      <c r="G924">
        <v>0.7</v>
      </c>
      <c r="H924">
        <v>1775.7</v>
      </c>
      <c r="I924">
        <v>1381.1</v>
      </c>
      <c r="J924">
        <v>394.6</v>
      </c>
      <c r="K924">
        <f>Table1[[#This Row],[Liters_Sold]]</f>
        <v>1973</v>
      </c>
      <c r="L924">
        <f>Table1[[#This Row],[Delivery volume]]*0.05</f>
        <v>98.65</v>
      </c>
      <c r="M924" s="16">
        <f>Table1[[#This Row],[Delivery Cost]]/Table1[[#This Row],[Revenue]]</f>
        <v>5.5555555555555559E-2</v>
      </c>
      <c r="N924" t="str">
        <f t="shared" si="14"/>
        <v>Mar</v>
      </c>
    </row>
    <row r="925" spans="1:14" x14ac:dyDescent="0.2">
      <c r="A925" s="1">
        <v>45524</v>
      </c>
      <c r="B925" t="s">
        <v>30</v>
      </c>
      <c r="C925" t="s">
        <v>20</v>
      </c>
      <c r="D925" t="s">
        <v>12</v>
      </c>
      <c r="E925">
        <v>1586</v>
      </c>
      <c r="F925">
        <v>1.25</v>
      </c>
      <c r="G925">
        <v>1.05</v>
      </c>
      <c r="H925">
        <v>1982.5</v>
      </c>
      <c r="I925">
        <v>1665.3</v>
      </c>
      <c r="J925">
        <v>317.19999999999902</v>
      </c>
      <c r="K925">
        <f>Table1[[#This Row],[Liters_Sold]]</f>
        <v>1586</v>
      </c>
      <c r="L925">
        <f>Table1[[#This Row],[Delivery volume]]*0.05</f>
        <v>79.300000000000011</v>
      </c>
      <c r="M925" s="16">
        <f>Table1[[#This Row],[Delivery Cost]]/Table1[[#This Row],[Revenue]]</f>
        <v>4.0000000000000008E-2</v>
      </c>
      <c r="N925" t="str">
        <f t="shared" si="14"/>
        <v>Aug</v>
      </c>
    </row>
    <row r="926" spans="1:14" x14ac:dyDescent="0.2">
      <c r="A926" s="1">
        <v>45400</v>
      </c>
      <c r="B926" t="s">
        <v>30</v>
      </c>
      <c r="C926" t="s">
        <v>20</v>
      </c>
      <c r="D926" t="s">
        <v>12</v>
      </c>
      <c r="E926">
        <v>4699</v>
      </c>
      <c r="F926">
        <v>1.25</v>
      </c>
      <c r="G926">
        <v>1.05</v>
      </c>
      <c r="H926">
        <v>5873.75</v>
      </c>
      <c r="I926">
        <v>4933.95</v>
      </c>
      <c r="J926">
        <v>939.8</v>
      </c>
      <c r="K926">
        <f>Table1[[#This Row],[Liters_Sold]]</f>
        <v>4699</v>
      </c>
      <c r="L926">
        <f>Table1[[#This Row],[Delivery volume]]*0.05</f>
        <v>234.95000000000002</v>
      </c>
      <c r="M926" s="16">
        <f>Table1[[#This Row],[Delivery Cost]]/Table1[[#This Row],[Revenue]]</f>
        <v>0.04</v>
      </c>
      <c r="N926" t="str">
        <f t="shared" si="14"/>
        <v>Apr</v>
      </c>
    </row>
    <row r="927" spans="1:14" x14ac:dyDescent="0.2">
      <c r="A927" s="1">
        <v>45437</v>
      </c>
      <c r="B927" t="s">
        <v>10</v>
      </c>
      <c r="C927" t="s">
        <v>17</v>
      </c>
      <c r="D927" t="s">
        <v>18</v>
      </c>
      <c r="E927">
        <v>2374</v>
      </c>
      <c r="F927">
        <v>1.2</v>
      </c>
      <c r="G927">
        <v>1</v>
      </c>
      <c r="H927">
        <v>2848.7999999999902</v>
      </c>
      <c r="I927">
        <v>2374</v>
      </c>
      <c r="J927">
        <v>474.79999999999899</v>
      </c>
      <c r="K927">
        <f>Table1[[#This Row],[Liters_Sold]]</f>
        <v>2374</v>
      </c>
      <c r="L927">
        <f>Table1[[#This Row],[Delivery volume]]*0.05</f>
        <v>118.7</v>
      </c>
      <c r="M927" s="16">
        <f>Table1[[#This Row],[Delivery Cost]]/Table1[[#This Row],[Revenue]]</f>
        <v>4.166666666666681E-2</v>
      </c>
      <c r="N927" t="str">
        <f t="shared" si="14"/>
        <v>May</v>
      </c>
    </row>
    <row r="928" spans="1:14" x14ac:dyDescent="0.2">
      <c r="A928" s="1">
        <v>45402</v>
      </c>
      <c r="B928" t="s">
        <v>32</v>
      </c>
      <c r="C928" t="s">
        <v>20</v>
      </c>
      <c r="D928" t="s">
        <v>12</v>
      </c>
      <c r="E928">
        <v>1370</v>
      </c>
      <c r="F928">
        <v>1.25</v>
      </c>
      <c r="G928">
        <v>1.05</v>
      </c>
      <c r="H928">
        <v>1712.5</v>
      </c>
      <c r="I928">
        <v>1438.5</v>
      </c>
      <c r="J928">
        <v>274</v>
      </c>
      <c r="K928">
        <f>Table1[[#This Row],[Liters_Sold]]</f>
        <v>1370</v>
      </c>
      <c r="L928">
        <f>Table1[[#This Row],[Delivery volume]]*0.05</f>
        <v>68.5</v>
      </c>
      <c r="M928" s="16">
        <f>Table1[[#This Row],[Delivery Cost]]/Table1[[#This Row],[Revenue]]</f>
        <v>0.04</v>
      </c>
      <c r="N928" t="str">
        <f t="shared" si="14"/>
        <v>Apr</v>
      </c>
    </row>
    <row r="929" spans="1:14" x14ac:dyDescent="0.2">
      <c r="A929" s="1">
        <v>45519</v>
      </c>
      <c r="B929" t="s">
        <v>27</v>
      </c>
      <c r="C929" t="s">
        <v>17</v>
      </c>
      <c r="D929" t="s">
        <v>18</v>
      </c>
      <c r="E929">
        <v>5263</v>
      </c>
      <c r="F929">
        <v>1.2</v>
      </c>
      <c r="G929">
        <v>1</v>
      </c>
      <c r="H929">
        <v>6315.5999999999904</v>
      </c>
      <c r="I929">
        <v>5263</v>
      </c>
      <c r="J929">
        <v>1052.5999999999899</v>
      </c>
      <c r="K929">
        <f>Table1[[#This Row],[Liters_Sold]]</f>
        <v>5263</v>
      </c>
      <c r="L929">
        <f>Table1[[#This Row],[Delivery volume]]*0.05</f>
        <v>263.15000000000003</v>
      </c>
      <c r="M929" s="16">
        <f>Table1[[#This Row],[Delivery Cost]]/Table1[[#This Row],[Revenue]]</f>
        <v>4.1666666666666734E-2</v>
      </c>
      <c r="N929" t="str">
        <f t="shared" si="14"/>
        <v>Aug</v>
      </c>
    </row>
    <row r="930" spans="1:14" x14ac:dyDescent="0.2">
      <c r="A930" s="1">
        <v>45402</v>
      </c>
      <c r="B930" t="s">
        <v>15</v>
      </c>
      <c r="C930" t="s">
        <v>23</v>
      </c>
      <c r="D930" t="s">
        <v>18</v>
      </c>
      <c r="E930">
        <v>2542</v>
      </c>
      <c r="F930">
        <v>1.2</v>
      </c>
      <c r="G930">
        <v>1</v>
      </c>
      <c r="H930">
        <v>3050.4</v>
      </c>
      <c r="I930">
        <v>2542</v>
      </c>
      <c r="J930">
        <v>508.4</v>
      </c>
      <c r="K930">
        <f>Table1[[#This Row],[Liters_Sold]]</f>
        <v>2542</v>
      </c>
      <c r="L930">
        <f>Table1[[#This Row],[Delivery volume]]*0.05</f>
        <v>127.10000000000001</v>
      </c>
      <c r="M930" s="16">
        <f>Table1[[#This Row],[Delivery Cost]]/Table1[[#This Row],[Revenue]]</f>
        <v>4.1666666666666671E-2</v>
      </c>
      <c r="N930" t="str">
        <f t="shared" si="14"/>
        <v>Apr</v>
      </c>
    </row>
    <row r="931" spans="1:14" x14ac:dyDescent="0.2">
      <c r="A931" s="1">
        <v>45325</v>
      </c>
      <c r="B931" t="s">
        <v>22</v>
      </c>
      <c r="C931" t="s">
        <v>29</v>
      </c>
      <c r="D931" t="s">
        <v>12</v>
      </c>
      <c r="E931">
        <v>772</v>
      </c>
      <c r="F931">
        <v>1.25</v>
      </c>
      <c r="G931">
        <v>1.05</v>
      </c>
      <c r="H931">
        <v>965</v>
      </c>
      <c r="I931">
        <v>810.6</v>
      </c>
      <c r="J931">
        <v>154.39999999999901</v>
      </c>
      <c r="K931">
        <f>Table1[[#This Row],[Liters_Sold]]</f>
        <v>772</v>
      </c>
      <c r="L931">
        <f>Table1[[#This Row],[Delivery volume]]*0.05</f>
        <v>38.6</v>
      </c>
      <c r="M931" s="16">
        <f>Table1[[#This Row],[Delivery Cost]]/Table1[[#This Row],[Revenue]]</f>
        <v>0.04</v>
      </c>
      <c r="N931" t="str">
        <f t="shared" si="14"/>
        <v>Feb</v>
      </c>
    </row>
    <row r="932" spans="1:14" x14ac:dyDescent="0.2">
      <c r="A932" s="1">
        <v>45402</v>
      </c>
      <c r="B932" t="s">
        <v>13</v>
      </c>
      <c r="C932" t="s">
        <v>11</v>
      </c>
      <c r="D932" t="s">
        <v>18</v>
      </c>
      <c r="E932">
        <v>1529</v>
      </c>
      <c r="F932">
        <v>1.2</v>
      </c>
      <c r="G932">
        <v>1</v>
      </c>
      <c r="H932">
        <v>1834.8</v>
      </c>
      <c r="I932">
        <v>1529</v>
      </c>
      <c r="J932">
        <v>305.79999999999899</v>
      </c>
      <c r="K932">
        <f>Table1[[#This Row],[Liters_Sold]]</f>
        <v>1529</v>
      </c>
      <c r="L932">
        <f>Table1[[#This Row],[Delivery volume]]*0.05</f>
        <v>76.45</v>
      </c>
      <c r="M932" s="16">
        <f>Table1[[#This Row],[Delivery Cost]]/Table1[[#This Row],[Revenue]]</f>
        <v>4.1666666666666671E-2</v>
      </c>
      <c r="N932" t="str">
        <f t="shared" si="14"/>
        <v>Apr</v>
      </c>
    </row>
    <row r="933" spans="1:14" x14ac:dyDescent="0.2">
      <c r="A933" s="1">
        <v>45555</v>
      </c>
      <c r="B933" t="s">
        <v>13</v>
      </c>
      <c r="C933" t="s">
        <v>23</v>
      </c>
      <c r="D933" t="s">
        <v>18</v>
      </c>
      <c r="E933">
        <v>3718</v>
      </c>
      <c r="F933">
        <v>1.2</v>
      </c>
      <c r="G933">
        <v>1</v>
      </c>
      <c r="H933">
        <v>4461.5999999999904</v>
      </c>
      <c r="I933">
        <v>3718</v>
      </c>
      <c r="J933">
        <v>743.599999999999</v>
      </c>
      <c r="K933">
        <f>Table1[[#This Row],[Liters_Sold]]</f>
        <v>3718</v>
      </c>
      <c r="L933">
        <f>Table1[[#This Row],[Delivery volume]]*0.05</f>
        <v>185.9</v>
      </c>
      <c r="M933" s="16">
        <f>Table1[[#This Row],[Delivery Cost]]/Table1[[#This Row],[Revenue]]</f>
        <v>4.1666666666666755E-2</v>
      </c>
      <c r="N933" t="str">
        <f t="shared" si="14"/>
        <v>Sep</v>
      </c>
    </row>
    <row r="934" spans="1:14" x14ac:dyDescent="0.2">
      <c r="A934" s="1">
        <v>45527</v>
      </c>
      <c r="B934" t="s">
        <v>13</v>
      </c>
      <c r="C934" t="s">
        <v>20</v>
      </c>
      <c r="D934" t="s">
        <v>12</v>
      </c>
      <c r="E934">
        <v>4569</v>
      </c>
      <c r="F934">
        <v>1.25</v>
      </c>
      <c r="G934">
        <v>1.05</v>
      </c>
      <c r="H934">
        <v>5711.25</v>
      </c>
      <c r="I934">
        <v>4797.45</v>
      </c>
      <c r="J934">
        <v>913.8</v>
      </c>
      <c r="K934">
        <f>Table1[[#This Row],[Liters_Sold]]</f>
        <v>4569</v>
      </c>
      <c r="L934">
        <f>Table1[[#This Row],[Delivery volume]]*0.05</f>
        <v>228.45000000000002</v>
      </c>
      <c r="M934" s="16">
        <f>Table1[[#This Row],[Delivery Cost]]/Table1[[#This Row],[Revenue]]</f>
        <v>0.04</v>
      </c>
      <c r="N934" t="str">
        <f t="shared" si="14"/>
        <v>Aug</v>
      </c>
    </row>
    <row r="935" spans="1:14" x14ac:dyDescent="0.2">
      <c r="A935" s="1">
        <v>45374</v>
      </c>
      <c r="B935" t="s">
        <v>24</v>
      </c>
      <c r="C935" t="s">
        <v>11</v>
      </c>
      <c r="D935" t="s">
        <v>14</v>
      </c>
      <c r="E935">
        <v>1551</v>
      </c>
      <c r="F935">
        <v>0.9</v>
      </c>
      <c r="G935">
        <v>0.7</v>
      </c>
      <c r="H935">
        <v>1395.9</v>
      </c>
      <c r="I935">
        <v>1085.69999999999</v>
      </c>
      <c r="J935">
        <v>310.2</v>
      </c>
      <c r="K935">
        <f>Table1[[#This Row],[Liters_Sold]]</f>
        <v>1551</v>
      </c>
      <c r="L935">
        <f>Table1[[#This Row],[Delivery volume]]*0.05</f>
        <v>77.550000000000011</v>
      </c>
      <c r="M935" s="16">
        <f>Table1[[#This Row],[Delivery Cost]]/Table1[[#This Row],[Revenue]]</f>
        <v>5.5555555555555559E-2</v>
      </c>
      <c r="N935" t="str">
        <f t="shared" si="14"/>
        <v>Mar</v>
      </c>
    </row>
    <row r="936" spans="1:14" x14ac:dyDescent="0.2">
      <c r="A936" s="1">
        <v>45333</v>
      </c>
      <c r="B936" t="s">
        <v>13</v>
      </c>
      <c r="C936" t="s">
        <v>29</v>
      </c>
      <c r="D936" t="s">
        <v>18</v>
      </c>
      <c r="E936">
        <v>4533</v>
      </c>
      <c r="F936">
        <v>1.2</v>
      </c>
      <c r="G936">
        <v>1</v>
      </c>
      <c r="H936">
        <v>5439.5999999999904</v>
      </c>
      <c r="I936">
        <v>4533</v>
      </c>
      <c r="J936">
        <v>906.599999999999</v>
      </c>
      <c r="K936">
        <f>Table1[[#This Row],[Liters_Sold]]</f>
        <v>4533</v>
      </c>
      <c r="L936">
        <f>Table1[[#This Row],[Delivery volume]]*0.05</f>
        <v>226.65</v>
      </c>
      <c r="M936" s="16">
        <f>Table1[[#This Row],[Delivery Cost]]/Table1[[#This Row],[Revenue]]</f>
        <v>4.1666666666666741E-2</v>
      </c>
      <c r="N936" t="str">
        <f t="shared" si="14"/>
        <v>Feb</v>
      </c>
    </row>
    <row r="937" spans="1:14" x14ac:dyDescent="0.2">
      <c r="A937" s="1">
        <v>45392</v>
      </c>
      <c r="B937" t="s">
        <v>16</v>
      </c>
      <c r="C937" t="s">
        <v>29</v>
      </c>
      <c r="D937" t="s">
        <v>18</v>
      </c>
      <c r="E937">
        <v>2073</v>
      </c>
      <c r="F937">
        <v>1.2</v>
      </c>
      <c r="G937">
        <v>1</v>
      </c>
      <c r="H937">
        <v>2487.6</v>
      </c>
      <c r="I937">
        <v>2073</v>
      </c>
      <c r="J937">
        <v>414.599999999999</v>
      </c>
      <c r="K937">
        <f>Table1[[#This Row],[Liters_Sold]]</f>
        <v>2073</v>
      </c>
      <c r="L937">
        <f>Table1[[#This Row],[Delivery volume]]*0.05</f>
        <v>103.65</v>
      </c>
      <c r="M937" s="16">
        <f>Table1[[#This Row],[Delivery Cost]]/Table1[[#This Row],[Revenue]]</f>
        <v>4.1666666666666671E-2</v>
      </c>
      <c r="N937" t="str">
        <f t="shared" si="14"/>
        <v>Apr</v>
      </c>
    </row>
    <row r="938" spans="1:14" x14ac:dyDescent="0.2">
      <c r="A938" s="1">
        <v>45297</v>
      </c>
      <c r="B938" t="s">
        <v>21</v>
      </c>
      <c r="C938" t="s">
        <v>17</v>
      </c>
      <c r="D938" t="s">
        <v>18</v>
      </c>
      <c r="E938">
        <v>3690</v>
      </c>
      <c r="F938">
        <v>1.2</v>
      </c>
      <c r="G938">
        <v>1</v>
      </c>
      <c r="H938">
        <v>4428</v>
      </c>
      <c r="I938">
        <v>3690</v>
      </c>
      <c r="J938">
        <v>738</v>
      </c>
      <c r="K938">
        <f>Table1[[#This Row],[Liters_Sold]]</f>
        <v>3690</v>
      </c>
      <c r="L938">
        <f>Table1[[#This Row],[Delivery volume]]*0.05</f>
        <v>184.5</v>
      </c>
      <c r="M938" s="16">
        <f>Table1[[#This Row],[Delivery Cost]]/Table1[[#This Row],[Revenue]]</f>
        <v>4.1666666666666664E-2</v>
      </c>
      <c r="N938" t="str">
        <f t="shared" si="14"/>
        <v>Jan</v>
      </c>
    </row>
    <row r="939" spans="1:14" x14ac:dyDescent="0.2">
      <c r="A939" s="1">
        <v>45471</v>
      </c>
      <c r="B939" t="s">
        <v>30</v>
      </c>
      <c r="C939" t="s">
        <v>11</v>
      </c>
      <c r="D939" t="s">
        <v>12</v>
      </c>
      <c r="E939">
        <v>4888</v>
      </c>
      <c r="F939">
        <v>1.25</v>
      </c>
      <c r="G939">
        <v>1.05</v>
      </c>
      <c r="H939">
        <v>6110</v>
      </c>
      <c r="I939">
        <v>5132.3999999999996</v>
      </c>
      <c r="J939">
        <v>977.599999999999</v>
      </c>
      <c r="K939">
        <f>Table1[[#This Row],[Liters_Sold]]</f>
        <v>4888</v>
      </c>
      <c r="L939">
        <f>Table1[[#This Row],[Delivery volume]]*0.05</f>
        <v>244.4</v>
      </c>
      <c r="M939" s="16">
        <f>Table1[[#This Row],[Delivery Cost]]/Table1[[#This Row],[Revenue]]</f>
        <v>0.04</v>
      </c>
      <c r="N939" t="str">
        <f t="shared" si="14"/>
        <v>Jun</v>
      </c>
    </row>
    <row r="940" spans="1:14" x14ac:dyDescent="0.2">
      <c r="A940" s="1">
        <v>45573</v>
      </c>
      <c r="B940" t="s">
        <v>22</v>
      </c>
      <c r="C940" t="s">
        <v>17</v>
      </c>
      <c r="D940" t="s">
        <v>14</v>
      </c>
      <c r="E940">
        <v>4297</v>
      </c>
      <c r="F940">
        <v>0.9</v>
      </c>
      <c r="G940">
        <v>0.7</v>
      </c>
      <c r="H940">
        <v>3867.3</v>
      </c>
      <c r="I940">
        <v>3007.8999999999901</v>
      </c>
      <c r="J940">
        <v>859.4</v>
      </c>
      <c r="K940">
        <f>Table1[[#This Row],[Liters_Sold]]</f>
        <v>4297</v>
      </c>
      <c r="L940">
        <f>Table1[[#This Row],[Delivery volume]]*0.05</f>
        <v>214.85000000000002</v>
      </c>
      <c r="M940" s="16">
        <f>Table1[[#This Row],[Delivery Cost]]/Table1[[#This Row],[Revenue]]</f>
        <v>5.5555555555555559E-2</v>
      </c>
      <c r="N940" t="str">
        <f t="shared" si="14"/>
        <v>Oct</v>
      </c>
    </row>
    <row r="941" spans="1:14" x14ac:dyDescent="0.2">
      <c r="A941" s="1">
        <v>45611</v>
      </c>
      <c r="B941" t="s">
        <v>21</v>
      </c>
      <c r="C941" t="s">
        <v>23</v>
      </c>
      <c r="D941" t="s">
        <v>18</v>
      </c>
      <c r="E941">
        <v>3789</v>
      </c>
      <c r="F941">
        <v>1.2</v>
      </c>
      <c r="G941">
        <v>1</v>
      </c>
      <c r="H941">
        <v>4546.8</v>
      </c>
      <c r="I941">
        <v>3789</v>
      </c>
      <c r="J941">
        <v>757.8</v>
      </c>
      <c r="K941">
        <f>Table1[[#This Row],[Liters_Sold]]</f>
        <v>3789</v>
      </c>
      <c r="L941">
        <f>Table1[[#This Row],[Delivery volume]]*0.05</f>
        <v>189.45000000000002</v>
      </c>
      <c r="M941" s="16">
        <f>Table1[[#This Row],[Delivery Cost]]/Table1[[#This Row],[Revenue]]</f>
        <v>4.1666666666666671E-2</v>
      </c>
      <c r="N941" t="str">
        <f t="shared" si="14"/>
        <v>Nov</v>
      </c>
    </row>
    <row r="942" spans="1:14" x14ac:dyDescent="0.2">
      <c r="A942" s="1">
        <v>45517</v>
      </c>
      <c r="B942" t="s">
        <v>26</v>
      </c>
      <c r="C942" t="s">
        <v>11</v>
      </c>
      <c r="D942" t="s">
        <v>18</v>
      </c>
      <c r="E942">
        <v>4247</v>
      </c>
      <c r="F942">
        <v>1.2</v>
      </c>
      <c r="G942">
        <v>1</v>
      </c>
      <c r="H942">
        <v>5096.3999999999996</v>
      </c>
      <c r="I942">
        <v>4247</v>
      </c>
      <c r="J942">
        <v>849.39999999999895</v>
      </c>
      <c r="K942">
        <f>Table1[[#This Row],[Liters_Sold]]</f>
        <v>4247</v>
      </c>
      <c r="L942">
        <f>Table1[[#This Row],[Delivery volume]]*0.05</f>
        <v>212.35000000000002</v>
      </c>
      <c r="M942" s="16">
        <f>Table1[[#This Row],[Delivery Cost]]/Table1[[#This Row],[Revenue]]</f>
        <v>4.1666666666666671E-2</v>
      </c>
      <c r="N942" t="str">
        <f t="shared" si="14"/>
        <v>Aug</v>
      </c>
    </row>
    <row r="943" spans="1:14" x14ac:dyDescent="0.2">
      <c r="A943" s="1">
        <v>45606</v>
      </c>
      <c r="B943" t="s">
        <v>22</v>
      </c>
      <c r="C943" t="s">
        <v>23</v>
      </c>
      <c r="D943" t="s">
        <v>14</v>
      </c>
      <c r="E943">
        <v>2605</v>
      </c>
      <c r="F943">
        <v>0.9</v>
      </c>
      <c r="G943">
        <v>0.7</v>
      </c>
      <c r="H943">
        <v>2344.5</v>
      </c>
      <c r="I943">
        <v>1823.49999999999</v>
      </c>
      <c r="J943">
        <v>521</v>
      </c>
      <c r="K943">
        <f>Table1[[#This Row],[Liters_Sold]]</f>
        <v>2605</v>
      </c>
      <c r="L943">
        <f>Table1[[#This Row],[Delivery volume]]*0.05</f>
        <v>130.25</v>
      </c>
      <c r="M943" s="16">
        <f>Table1[[#This Row],[Delivery Cost]]/Table1[[#This Row],[Revenue]]</f>
        <v>5.5555555555555552E-2</v>
      </c>
      <c r="N943" t="str">
        <f t="shared" si="14"/>
        <v>Nov</v>
      </c>
    </row>
    <row r="944" spans="1:14" x14ac:dyDescent="0.2">
      <c r="A944" s="1">
        <v>45656</v>
      </c>
      <c r="B944" t="s">
        <v>21</v>
      </c>
      <c r="C944" t="s">
        <v>17</v>
      </c>
      <c r="D944" t="s">
        <v>12</v>
      </c>
      <c r="E944">
        <v>5888</v>
      </c>
      <c r="F944">
        <v>1.25</v>
      </c>
      <c r="G944">
        <v>1.05</v>
      </c>
      <c r="H944">
        <v>7360</v>
      </c>
      <c r="I944">
        <v>6182.4</v>
      </c>
      <c r="J944">
        <v>1177.5999999999899</v>
      </c>
      <c r="K944">
        <f>Table1[[#This Row],[Liters_Sold]]</f>
        <v>5888</v>
      </c>
      <c r="L944">
        <f>Table1[[#This Row],[Delivery volume]]*0.05</f>
        <v>294.40000000000003</v>
      </c>
      <c r="M944" s="16">
        <f>Table1[[#This Row],[Delivery Cost]]/Table1[[#This Row],[Revenue]]</f>
        <v>4.0000000000000008E-2</v>
      </c>
      <c r="N944" t="str">
        <f t="shared" si="14"/>
        <v>Dec</v>
      </c>
    </row>
    <row r="945" spans="1:14" x14ac:dyDescent="0.2">
      <c r="A945" s="1">
        <v>45520</v>
      </c>
      <c r="B945" t="s">
        <v>22</v>
      </c>
      <c r="C945" t="s">
        <v>11</v>
      </c>
      <c r="D945" t="s">
        <v>18</v>
      </c>
      <c r="E945">
        <v>807</v>
      </c>
      <c r="F945">
        <v>1.2</v>
      </c>
      <c r="G945">
        <v>1</v>
      </c>
      <c r="H945">
        <v>968.4</v>
      </c>
      <c r="I945">
        <v>807</v>
      </c>
      <c r="J945">
        <v>161.39999999999901</v>
      </c>
      <c r="K945">
        <f>Table1[[#This Row],[Liters_Sold]]</f>
        <v>807</v>
      </c>
      <c r="L945">
        <f>Table1[[#This Row],[Delivery volume]]*0.05</f>
        <v>40.35</v>
      </c>
      <c r="M945" s="16">
        <f>Table1[[#This Row],[Delivery Cost]]/Table1[[#This Row],[Revenue]]</f>
        <v>4.1666666666666671E-2</v>
      </c>
      <c r="N945" t="str">
        <f t="shared" si="14"/>
        <v>Aug</v>
      </c>
    </row>
    <row r="946" spans="1:14" x14ac:dyDescent="0.2">
      <c r="A946" s="1">
        <v>45580</v>
      </c>
      <c r="B946" t="s">
        <v>26</v>
      </c>
      <c r="C946" t="s">
        <v>17</v>
      </c>
      <c r="D946" t="s">
        <v>12</v>
      </c>
      <c r="E946">
        <v>3859</v>
      </c>
      <c r="F946">
        <v>1.25</v>
      </c>
      <c r="G946">
        <v>1.05</v>
      </c>
      <c r="H946">
        <v>4823.75</v>
      </c>
      <c r="I946">
        <v>4051.95</v>
      </c>
      <c r="J946">
        <v>771.79999999999905</v>
      </c>
      <c r="K946">
        <f>Table1[[#This Row],[Liters_Sold]]</f>
        <v>3859</v>
      </c>
      <c r="L946">
        <f>Table1[[#This Row],[Delivery volume]]*0.05</f>
        <v>192.95000000000002</v>
      </c>
      <c r="M946" s="16">
        <f>Table1[[#This Row],[Delivery Cost]]/Table1[[#This Row],[Revenue]]</f>
        <v>0.04</v>
      </c>
      <c r="N946" t="str">
        <f t="shared" si="14"/>
        <v>Oct</v>
      </c>
    </row>
    <row r="947" spans="1:14" x14ac:dyDescent="0.2">
      <c r="A947" s="1">
        <v>45441</v>
      </c>
      <c r="B947" t="s">
        <v>25</v>
      </c>
      <c r="C947" t="s">
        <v>11</v>
      </c>
      <c r="D947" t="s">
        <v>12</v>
      </c>
      <c r="E947">
        <v>5572</v>
      </c>
      <c r="F947">
        <v>1.25</v>
      </c>
      <c r="G947">
        <v>1.05</v>
      </c>
      <c r="H947">
        <v>6965</v>
      </c>
      <c r="I947">
        <v>5850.6</v>
      </c>
      <c r="J947">
        <v>1114.3999999999901</v>
      </c>
      <c r="K947">
        <f>Table1[[#This Row],[Liters_Sold]]</f>
        <v>5572</v>
      </c>
      <c r="L947">
        <f>Table1[[#This Row],[Delivery volume]]*0.05</f>
        <v>278.60000000000002</v>
      </c>
      <c r="M947" s="16">
        <f>Table1[[#This Row],[Delivery Cost]]/Table1[[#This Row],[Revenue]]</f>
        <v>0.04</v>
      </c>
      <c r="N947" t="str">
        <f t="shared" si="14"/>
        <v>May</v>
      </c>
    </row>
    <row r="948" spans="1:14" x14ac:dyDescent="0.2">
      <c r="A948" s="1">
        <v>45568</v>
      </c>
      <c r="B948" t="s">
        <v>16</v>
      </c>
      <c r="C948" t="s">
        <v>17</v>
      </c>
      <c r="D948" t="s">
        <v>12</v>
      </c>
      <c r="E948">
        <v>3676</v>
      </c>
      <c r="F948">
        <v>1.25</v>
      </c>
      <c r="G948">
        <v>1.05</v>
      </c>
      <c r="H948">
        <v>4595</v>
      </c>
      <c r="I948">
        <v>3859.8</v>
      </c>
      <c r="J948">
        <v>735.19999999999902</v>
      </c>
      <c r="K948">
        <f>Table1[[#This Row],[Liters_Sold]]</f>
        <v>3676</v>
      </c>
      <c r="L948">
        <f>Table1[[#This Row],[Delivery volume]]*0.05</f>
        <v>183.8</v>
      </c>
      <c r="M948" s="16">
        <f>Table1[[#This Row],[Delivery Cost]]/Table1[[#This Row],[Revenue]]</f>
        <v>0.04</v>
      </c>
      <c r="N948" t="str">
        <f t="shared" si="14"/>
        <v>Oct</v>
      </c>
    </row>
    <row r="949" spans="1:14" x14ac:dyDescent="0.2">
      <c r="A949" s="1">
        <v>45489</v>
      </c>
      <c r="B949" t="s">
        <v>24</v>
      </c>
      <c r="C949" t="s">
        <v>29</v>
      </c>
      <c r="D949" t="s">
        <v>14</v>
      </c>
      <c r="E949">
        <v>1751</v>
      </c>
      <c r="F949">
        <v>0.9</v>
      </c>
      <c r="G949">
        <v>0.7</v>
      </c>
      <c r="H949">
        <v>1575.9</v>
      </c>
      <c r="I949">
        <v>1225.69999999999</v>
      </c>
      <c r="J949">
        <v>350.2</v>
      </c>
      <c r="K949">
        <f>Table1[[#This Row],[Liters_Sold]]</f>
        <v>1751</v>
      </c>
      <c r="L949">
        <f>Table1[[#This Row],[Delivery volume]]*0.05</f>
        <v>87.550000000000011</v>
      </c>
      <c r="M949" s="16">
        <f>Table1[[#This Row],[Delivery Cost]]/Table1[[#This Row],[Revenue]]</f>
        <v>5.5555555555555559E-2</v>
      </c>
      <c r="N949" t="str">
        <f t="shared" si="14"/>
        <v>Jul</v>
      </c>
    </row>
    <row r="950" spans="1:14" x14ac:dyDescent="0.2">
      <c r="A950" s="1">
        <v>45361</v>
      </c>
      <c r="B950" t="s">
        <v>24</v>
      </c>
      <c r="C950" t="s">
        <v>17</v>
      </c>
      <c r="D950" t="s">
        <v>14</v>
      </c>
      <c r="E950">
        <v>5866</v>
      </c>
      <c r="F950">
        <v>0.9</v>
      </c>
      <c r="G950">
        <v>0.7</v>
      </c>
      <c r="H950">
        <v>5279.4</v>
      </c>
      <c r="I950">
        <v>4106.2</v>
      </c>
      <c r="J950">
        <v>1173.2</v>
      </c>
      <c r="K950">
        <f>Table1[[#This Row],[Liters_Sold]]</f>
        <v>5866</v>
      </c>
      <c r="L950">
        <f>Table1[[#This Row],[Delivery volume]]*0.05</f>
        <v>293.3</v>
      </c>
      <c r="M950" s="16">
        <f>Table1[[#This Row],[Delivery Cost]]/Table1[[#This Row],[Revenue]]</f>
        <v>5.5555555555555559E-2</v>
      </c>
      <c r="N950" t="str">
        <f t="shared" si="14"/>
        <v>Mar</v>
      </c>
    </row>
    <row r="951" spans="1:14" x14ac:dyDescent="0.2">
      <c r="A951" s="1">
        <v>45403</v>
      </c>
      <c r="B951" t="s">
        <v>32</v>
      </c>
      <c r="C951" t="s">
        <v>29</v>
      </c>
      <c r="D951" t="s">
        <v>18</v>
      </c>
      <c r="E951">
        <v>3247</v>
      </c>
      <c r="F951">
        <v>1.2</v>
      </c>
      <c r="G951">
        <v>1</v>
      </c>
      <c r="H951">
        <v>3896.3999999999901</v>
      </c>
      <c r="I951">
        <v>3247</v>
      </c>
      <c r="J951">
        <v>649.39999999999895</v>
      </c>
      <c r="K951">
        <f>Table1[[#This Row],[Liters_Sold]]</f>
        <v>3247</v>
      </c>
      <c r="L951">
        <f>Table1[[#This Row],[Delivery volume]]*0.05</f>
        <v>162.35000000000002</v>
      </c>
      <c r="M951" s="16">
        <f>Table1[[#This Row],[Delivery Cost]]/Table1[[#This Row],[Revenue]]</f>
        <v>4.1666666666666775E-2</v>
      </c>
      <c r="N951" t="str">
        <f t="shared" si="14"/>
        <v>Apr</v>
      </c>
    </row>
    <row r="952" spans="1:14" x14ac:dyDescent="0.2">
      <c r="A952" s="1">
        <v>45295</v>
      </c>
      <c r="B952" t="s">
        <v>10</v>
      </c>
      <c r="C952" t="s">
        <v>17</v>
      </c>
      <c r="D952" t="s">
        <v>18</v>
      </c>
      <c r="E952">
        <v>2017</v>
      </c>
      <c r="F952">
        <v>1.2</v>
      </c>
      <c r="G952">
        <v>1</v>
      </c>
      <c r="H952">
        <v>2420.4</v>
      </c>
      <c r="I952">
        <v>2017</v>
      </c>
      <c r="J952">
        <v>403.4</v>
      </c>
      <c r="K952">
        <f>Table1[[#This Row],[Liters_Sold]]</f>
        <v>2017</v>
      </c>
      <c r="L952">
        <f>Table1[[#This Row],[Delivery volume]]*0.05</f>
        <v>100.85000000000001</v>
      </c>
      <c r="M952" s="16">
        <f>Table1[[#This Row],[Delivery Cost]]/Table1[[#This Row],[Revenue]]</f>
        <v>4.1666666666666671E-2</v>
      </c>
      <c r="N952" t="str">
        <f t="shared" si="14"/>
        <v>Jan</v>
      </c>
    </row>
    <row r="953" spans="1:14" x14ac:dyDescent="0.2">
      <c r="A953" s="1">
        <v>45641</v>
      </c>
      <c r="B953" t="s">
        <v>15</v>
      </c>
      <c r="C953" t="s">
        <v>11</v>
      </c>
      <c r="D953" t="s">
        <v>18</v>
      </c>
      <c r="E953">
        <v>5805</v>
      </c>
      <c r="F953">
        <v>1.2</v>
      </c>
      <c r="G953">
        <v>1</v>
      </c>
      <c r="H953">
        <v>6966</v>
      </c>
      <c r="I953">
        <v>5805</v>
      </c>
      <c r="J953">
        <v>1161</v>
      </c>
      <c r="K953">
        <f>Table1[[#This Row],[Liters_Sold]]</f>
        <v>5805</v>
      </c>
      <c r="L953">
        <f>Table1[[#This Row],[Delivery volume]]*0.05</f>
        <v>290.25</v>
      </c>
      <c r="M953" s="16">
        <f>Table1[[#This Row],[Delivery Cost]]/Table1[[#This Row],[Revenue]]</f>
        <v>4.1666666666666664E-2</v>
      </c>
      <c r="N953" t="str">
        <f t="shared" si="14"/>
        <v>Dec</v>
      </c>
    </row>
    <row r="954" spans="1:14" x14ac:dyDescent="0.2">
      <c r="A954" s="1">
        <v>45622</v>
      </c>
      <c r="B954" t="s">
        <v>30</v>
      </c>
      <c r="C954" t="s">
        <v>11</v>
      </c>
      <c r="D954" t="s">
        <v>14</v>
      </c>
      <c r="E954">
        <v>1878</v>
      </c>
      <c r="F954">
        <v>0.9</v>
      </c>
      <c r="G954">
        <v>0.7</v>
      </c>
      <c r="H954">
        <v>1690.2</v>
      </c>
      <c r="I954">
        <v>1314.6</v>
      </c>
      <c r="J954">
        <v>375.6</v>
      </c>
      <c r="K954">
        <f>Table1[[#This Row],[Liters_Sold]]</f>
        <v>1878</v>
      </c>
      <c r="L954">
        <f>Table1[[#This Row],[Delivery volume]]*0.05</f>
        <v>93.9</v>
      </c>
      <c r="M954" s="16">
        <f>Table1[[#This Row],[Delivery Cost]]/Table1[[#This Row],[Revenue]]</f>
        <v>5.5555555555555559E-2</v>
      </c>
      <c r="N954" t="str">
        <f t="shared" si="14"/>
        <v>Nov</v>
      </c>
    </row>
    <row r="955" spans="1:14" x14ac:dyDescent="0.2">
      <c r="A955" s="1">
        <v>45609</v>
      </c>
      <c r="B955" t="s">
        <v>13</v>
      </c>
      <c r="C955" t="s">
        <v>11</v>
      </c>
      <c r="D955" t="s">
        <v>12</v>
      </c>
      <c r="E955">
        <v>5391</v>
      </c>
      <c r="F955">
        <v>1.25</v>
      </c>
      <c r="G955">
        <v>1.05</v>
      </c>
      <c r="H955">
        <v>6738.75</v>
      </c>
      <c r="I955">
        <v>5660.55</v>
      </c>
      <c r="J955">
        <v>1078.19999999999</v>
      </c>
      <c r="K955">
        <f>Table1[[#This Row],[Liters_Sold]]</f>
        <v>5391</v>
      </c>
      <c r="L955">
        <f>Table1[[#This Row],[Delivery volume]]*0.05</f>
        <v>269.55</v>
      </c>
      <c r="M955" s="16">
        <f>Table1[[#This Row],[Delivery Cost]]/Table1[[#This Row],[Revenue]]</f>
        <v>0.04</v>
      </c>
      <c r="N955" t="str">
        <f t="shared" si="14"/>
        <v>Nov</v>
      </c>
    </row>
    <row r="956" spans="1:14" x14ac:dyDescent="0.2">
      <c r="A956" s="1">
        <v>45641</v>
      </c>
      <c r="B956" t="s">
        <v>16</v>
      </c>
      <c r="C956" t="s">
        <v>20</v>
      </c>
      <c r="D956" t="s">
        <v>12</v>
      </c>
      <c r="E956">
        <v>5492</v>
      </c>
      <c r="F956">
        <v>1.25</v>
      </c>
      <c r="G956">
        <v>1.05</v>
      </c>
      <c r="H956">
        <v>6865</v>
      </c>
      <c r="I956">
        <v>5766.6</v>
      </c>
      <c r="J956">
        <v>1098.3999999999901</v>
      </c>
      <c r="K956">
        <f>Table1[[#This Row],[Liters_Sold]]</f>
        <v>5492</v>
      </c>
      <c r="L956">
        <f>Table1[[#This Row],[Delivery volume]]*0.05</f>
        <v>274.60000000000002</v>
      </c>
      <c r="M956" s="16">
        <f>Table1[[#This Row],[Delivery Cost]]/Table1[[#This Row],[Revenue]]</f>
        <v>0.04</v>
      </c>
      <c r="N956" t="str">
        <f t="shared" si="14"/>
        <v>Dec</v>
      </c>
    </row>
    <row r="957" spans="1:14" x14ac:dyDescent="0.2">
      <c r="A957" s="1">
        <v>45386</v>
      </c>
      <c r="B957" t="s">
        <v>19</v>
      </c>
      <c r="C957" t="s">
        <v>23</v>
      </c>
      <c r="D957" t="s">
        <v>12</v>
      </c>
      <c r="E957">
        <v>2461</v>
      </c>
      <c r="F957">
        <v>1.25</v>
      </c>
      <c r="G957">
        <v>1.05</v>
      </c>
      <c r="H957">
        <v>3076.25</v>
      </c>
      <c r="I957">
        <v>2584.0500000000002</v>
      </c>
      <c r="J957">
        <v>492.19999999999902</v>
      </c>
      <c r="K957">
        <f>Table1[[#This Row],[Liters_Sold]]</f>
        <v>2461</v>
      </c>
      <c r="L957">
        <f>Table1[[#This Row],[Delivery volume]]*0.05</f>
        <v>123.05000000000001</v>
      </c>
      <c r="M957" s="16">
        <f>Table1[[#This Row],[Delivery Cost]]/Table1[[#This Row],[Revenue]]</f>
        <v>0.04</v>
      </c>
      <c r="N957" t="str">
        <f t="shared" si="14"/>
        <v>Apr</v>
      </c>
    </row>
    <row r="958" spans="1:14" x14ac:dyDescent="0.2">
      <c r="A958" s="1">
        <v>45443</v>
      </c>
      <c r="B958" t="s">
        <v>13</v>
      </c>
      <c r="C958" t="s">
        <v>11</v>
      </c>
      <c r="D958" t="s">
        <v>18</v>
      </c>
      <c r="E958">
        <v>4805</v>
      </c>
      <c r="F958">
        <v>1.2</v>
      </c>
      <c r="G958">
        <v>1</v>
      </c>
      <c r="H958">
        <v>5766</v>
      </c>
      <c r="I958">
        <v>4805</v>
      </c>
      <c r="J958">
        <v>961</v>
      </c>
      <c r="K958">
        <f>Table1[[#This Row],[Liters_Sold]]</f>
        <v>4805</v>
      </c>
      <c r="L958">
        <f>Table1[[#This Row],[Delivery volume]]*0.05</f>
        <v>240.25</v>
      </c>
      <c r="M958" s="16">
        <f>Table1[[#This Row],[Delivery Cost]]/Table1[[#This Row],[Revenue]]</f>
        <v>4.1666666666666664E-2</v>
      </c>
      <c r="N958" t="str">
        <f t="shared" si="14"/>
        <v>May</v>
      </c>
    </row>
    <row r="959" spans="1:14" x14ac:dyDescent="0.2">
      <c r="A959" s="1">
        <v>45602</v>
      </c>
      <c r="B959" t="s">
        <v>15</v>
      </c>
      <c r="C959" t="s">
        <v>29</v>
      </c>
      <c r="D959" t="s">
        <v>18</v>
      </c>
      <c r="E959">
        <v>3363</v>
      </c>
      <c r="F959">
        <v>1.2</v>
      </c>
      <c r="G959">
        <v>1</v>
      </c>
      <c r="H959">
        <v>4035.6</v>
      </c>
      <c r="I959">
        <v>3363</v>
      </c>
      <c r="J959">
        <v>672.599999999999</v>
      </c>
      <c r="K959">
        <f>Table1[[#This Row],[Liters_Sold]]</f>
        <v>3363</v>
      </c>
      <c r="L959">
        <f>Table1[[#This Row],[Delivery volume]]*0.05</f>
        <v>168.15</v>
      </c>
      <c r="M959" s="16">
        <f>Table1[[#This Row],[Delivery Cost]]/Table1[[#This Row],[Revenue]]</f>
        <v>4.1666666666666671E-2</v>
      </c>
      <c r="N959" t="str">
        <f t="shared" si="14"/>
        <v>Nov</v>
      </c>
    </row>
    <row r="960" spans="1:14" x14ac:dyDescent="0.2">
      <c r="A960" s="1">
        <v>45428</v>
      </c>
      <c r="B960" t="s">
        <v>30</v>
      </c>
      <c r="C960" t="s">
        <v>11</v>
      </c>
      <c r="D960" t="s">
        <v>12</v>
      </c>
      <c r="E960">
        <v>3156</v>
      </c>
      <c r="F960">
        <v>1.25</v>
      </c>
      <c r="G960">
        <v>1.05</v>
      </c>
      <c r="H960">
        <v>3945</v>
      </c>
      <c r="I960">
        <v>3313.8</v>
      </c>
      <c r="J960">
        <v>631.19999999999902</v>
      </c>
      <c r="K960">
        <f>Table1[[#This Row],[Liters_Sold]]</f>
        <v>3156</v>
      </c>
      <c r="L960">
        <f>Table1[[#This Row],[Delivery volume]]*0.05</f>
        <v>157.80000000000001</v>
      </c>
      <c r="M960" s="16">
        <f>Table1[[#This Row],[Delivery Cost]]/Table1[[#This Row],[Revenue]]</f>
        <v>0.04</v>
      </c>
      <c r="N960" t="str">
        <f t="shared" si="14"/>
        <v>May</v>
      </c>
    </row>
    <row r="961" spans="1:14" x14ac:dyDescent="0.2">
      <c r="A961" s="1">
        <v>45538</v>
      </c>
      <c r="B961" t="s">
        <v>28</v>
      </c>
      <c r="C961" t="s">
        <v>20</v>
      </c>
      <c r="D961" t="s">
        <v>12</v>
      </c>
      <c r="E961">
        <v>2994</v>
      </c>
      <c r="F961">
        <v>1.25</v>
      </c>
      <c r="G961">
        <v>1.05</v>
      </c>
      <c r="H961">
        <v>3742.5</v>
      </c>
      <c r="I961">
        <v>3143.7</v>
      </c>
      <c r="J961">
        <v>598.79999999999905</v>
      </c>
      <c r="K961">
        <f>Table1[[#This Row],[Liters_Sold]]</f>
        <v>2994</v>
      </c>
      <c r="L961">
        <f>Table1[[#This Row],[Delivery volume]]*0.05</f>
        <v>149.70000000000002</v>
      </c>
      <c r="M961" s="16">
        <f>Table1[[#This Row],[Delivery Cost]]/Table1[[#This Row],[Revenue]]</f>
        <v>4.0000000000000008E-2</v>
      </c>
      <c r="N961" t="str">
        <f t="shared" si="14"/>
        <v>Sep</v>
      </c>
    </row>
    <row r="962" spans="1:14" x14ac:dyDescent="0.2">
      <c r="A962" s="1">
        <v>45534</v>
      </c>
      <c r="B962" t="s">
        <v>15</v>
      </c>
      <c r="C962" t="s">
        <v>29</v>
      </c>
      <c r="D962" t="s">
        <v>18</v>
      </c>
      <c r="E962">
        <v>5563</v>
      </c>
      <c r="F962">
        <v>1.2</v>
      </c>
      <c r="G962">
        <v>1</v>
      </c>
      <c r="H962">
        <v>6675.5999999999904</v>
      </c>
      <c r="I962">
        <v>5563</v>
      </c>
      <c r="J962">
        <v>1112.5999999999899</v>
      </c>
      <c r="K962">
        <f>Table1[[#This Row],[Liters_Sold]]</f>
        <v>5563</v>
      </c>
      <c r="L962">
        <f>Table1[[#This Row],[Delivery volume]]*0.05</f>
        <v>278.15000000000003</v>
      </c>
      <c r="M962" s="16">
        <f>Table1[[#This Row],[Delivery Cost]]/Table1[[#This Row],[Revenue]]</f>
        <v>4.1666666666666734E-2</v>
      </c>
      <c r="N962" t="str">
        <f t="shared" ref="N962:N1001" si="15">TEXT(A962,"mmm")</f>
        <v>Aug</v>
      </c>
    </row>
    <row r="963" spans="1:14" x14ac:dyDescent="0.2">
      <c r="A963" s="1">
        <v>45322</v>
      </c>
      <c r="B963" t="s">
        <v>16</v>
      </c>
      <c r="C963" t="s">
        <v>20</v>
      </c>
      <c r="D963" t="s">
        <v>12</v>
      </c>
      <c r="E963">
        <v>5067</v>
      </c>
      <c r="F963">
        <v>1.25</v>
      </c>
      <c r="G963">
        <v>1.05</v>
      </c>
      <c r="H963">
        <v>6333.75</v>
      </c>
      <c r="I963">
        <v>5320.35</v>
      </c>
      <c r="J963">
        <v>1013.39999999999</v>
      </c>
      <c r="K963">
        <f>Table1[[#This Row],[Liters_Sold]]</f>
        <v>5067</v>
      </c>
      <c r="L963">
        <f>Table1[[#This Row],[Delivery volume]]*0.05</f>
        <v>253.35000000000002</v>
      </c>
      <c r="M963" s="16">
        <f>Table1[[#This Row],[Delivery Cost]]/Table1[[#This Row],[Revenue]]</f>
        <v>0.04</v>
      </c>
      <c r="N963" t="str">
        <f t="shared" si="15"/>
        <v>Jan</v>
      </c>
    </row>
    <row r="964" spans="1:14" x14ac:dyDescent="0.2">
      <c r="A964" s="1">
        <v>45331</v>
      </c>
      <c r="B964" t="s">
        <v>21</v>
      </c>
      <c r="C964" t="s">
        <v>29</v>
      </c>
      <c r="D964" t="s">
        <v>18</v>
      </c>
      <c r="E964">
        <v>4505</v>
      </c>
      <c r="F964">
        <v>1.2</v>
      </c>
      <c r="G964">
        <v>1</v>
      </c>
      <c r="H964">
        <v>5406</v>
      </c>
      <c r="I964">
        <v>4505</v>
      </c>
      <c r="J964">
        <v>901</v>
      </c>
      <c r="K964">
        <f>Table1[[#This Row],[Liters_Sold]]</f>
        <v>4505</v>
      </c>
      <c r="L964">
        <f>Table1[[#This Row],[Delivery volume]]*0.05</f>
        <v>225.25</v>
      </c>
      <c r="M964" s="16">
        <f>Table1[[#This Row],[Delivery Cost]]/Table1[[#This Row],[Revenue]]</f>
        <v>4.1666666666666664E-2</v>
      </c>
      <c r="N964" t="str">
        <f t="shared" si="15"/>
        <v>Feb</v>
      </c>
    </row>
    <row r="965" spans="1:14" x14ac:dyDescent="0.2">
      <c r="A965" s="1">
        <v>45520</v>
      </c>
      <c r="B965" t="s">
        <v>22</v>
      </c>
      <c r="C965" t="s">
        <v>17</v>
      </c>
      <c r="D965" t="s">
        <v>14</v>
      </c>
      <c r="E965">
        <v>4063</v>
      </c>
      <c r="F965">
        <v>0.9</v>
      </c>
      <c r="G965">
        <v>0.7</v>
      </c>
      <c r="H965">
        <v>3656.7</v>
      </c>
      <c r="I965">
        <v>2844.1</v>
      </c>
      <c r="J965">
        <v>812.6</v>
      </c>
      <c r="K965">
        <f>Table1[[#This Row],[Liters_Sold]]</f>
        <v>4063</v>
      </c>
      <c r="L965">
        <f>Table1[[#This Row],[Delivery volume]]*0.05</f>
        <v>203.15</v>
      </c>
      <c r="M965" s="16">
        <f>Table1[[#This Row],[Delivery Cost]]/Table1[[#This Row],[Revenue]]</f>
        <v>5.5555555555555559E-2</v>
      </c>
      <c r="N965" t="str">
        <f t="shared" si="15"/>
        <v>Aug</v>
      </c>
    </row>
    <row r="966" spans="1:14" x14ac:dyDescent="0.2">
      <c r="A966" s="1">
        <v>45327</v>
      </c>
      <c r="B966" t="s">
        <v>10</v>
      </c>
      <c r="C966" t="s">
        <v>23</v>
      </c>
      <c r="D966" t="s">
        <v>12</v>
      </c>
      <c r="E966">
        <v>1422</v>
      </c>
      <c r="F966">
        <v>1.25</v>
      </c>
      <c r="G966">
        <v>1.05</v>
      </c>
      <c r="H966">
        <v>1777.5</v>
      </c>
      <c r="I966">
        <v>1493.1</v>
      </c>
      <c r="J966">
        <v>284.39999999999901</v>
      </c>
      <c r="K966">
        <f>Table1[[#This Row],[Liters_Sold]]</f>
        <v>1422</v>
      </c>
      <c r="L966">
        <f>Table1[[#This Row],[Delivery volume]]*0.05</f>
        <v>71.100000000000009</v>
      </c>
      <c r="M966" s="16">
        <f>Table1[[#This Row],[Delivery Cost]]/Table1[[#This Row],[Revenue]]</f>
        <v>4.0000000000000008E-2</v>
      </c>
      <c r="N966" t="str">
        <f t="shared" si="15"/>
        <v>Feb</v>
      </c>
    </row>
    <row r="967" spans="1:14" x14ac:dyDescent="0.2">
      <c r="A967" s="1">
        <v>45514</v>
      </c>
      <c r="B967" t="s">
        <v>10</v>
      </c>
      <c r="C967" t="s">
        <v>23</v>
      </c>
      <c r="D967" t="s">
        <v>12</v>
      </c>
      <c r="E967">
        <v>4732</v>
      </c>
      <c r="F967">
        <v>1.25</v>
      </c>
      <c r="G967">
        <v>1.05</v>
      </c>
      <c r="H967">
        <v>5915</v>
      </c>
      <c r="I967">
        <v>4968.6000000000004</v>
      </c>
      <c r="J967">
        <v>946.39999999999895</v>
      </c>
      <c r="K967">
        <f>Table1[[#This Row],[Liters_Sold]]</f>
        <v>4732</v>
      </c>
      <c r="L967">
        <f>Table1[[#This Row],[Delivery volume]]*0.05</f>
        <v>236.60000000000002</v>
      </c>
      <c r="M967" s="16">
        <f>Table1[[#This Row],[Delivery Cost]]/Table1[[#This Row],[Revenue]]</f>
        <v>0.04</v>
      </c>
      <c r="N967" t="str">
        <f t="shared" si="15"/>
        <v>Aug</v>
      </c>
    </row>
    <row r="968" spans="1:14" x14ac:dyDescent="0.2">
      <c r="A968" s="1">
        <v>45297</v>
      </c>
      <c r="B968" t="s">
        <v>19</v>
      </c>
      <c r="C968" t="s">
        <v>20</v>
      </c>
      <c r="D968" t="s">
        <v>18</v>
      </c>
      <c r="E968">
        <v>4962</v>
      </c>
      <c r="F968">
        <v>1.2</v>
      </c>
      <c r="G968">
        <v>1</v>
      </c>
      <c r="H968">
        <v>5954.4</v>
      </c>
      <c r="I968">
        <v>4962</v>
      </c>
      <c r="J968">
        <v>992.39999999999895</v>
      </c>
      <c r="K968">
        <f>Table1[[#This Row],[Liters_Sold]]</f>
        <v>4962</v>
      </c>
      <c r="L968">
        <f>Table1[[#This Row],[Delivery volume]]*0.05</f>
        <v>248.10000000000002</v>
      </c>
      <c r="M968" s="16">
        <f>Table1[[#This Row],[Delivery Cost]]/Table1[[#This Row],[Revenue]]</f>
        <v>4.1666666666666671E-2</v>
      </c>
      <c r="N968" t="str">
        <f t="shared" si="15"/>
        <v>Jan</v>
      </c>
    </row>
    <row r="969" spans="1:14" x14ac:dyDescent="0.2">
      <c r="A969" s="1">
        <v>45613</v>
      </c>
      <c r="B969" t="s">
        <v>16</v>
      </c>
      <c r="C969" t="s">
        <v>23</v>
      </c>
      <c r="D969" t="s">
        <v>18</v>
      </c>
      <c r="E969">
        <v>3459</v>
      </c>
      <c r="F969">
        <v>1.2</v>
      </c>
      <c r="G969">
        <v>1</v>
      </c>
      <c r="H969">
        <v>4150.8</v>
      </c>
      <c r="I969">
        <v>3459</v>
      </c>
      <c r="J969">
        <v>691.8</v>
      </c>
      <c r="K969">
        <f>Table1[[#This Row],[Liters_Sold]]</f>
        <v>3459</v>
      </c>
      <c r="L969">
        <f>Table1[[#This Row],[Delivery volume]]*0.05</f>
        <v>172.95000000000002</v>
      </c>
      <c r="M969" s="16">
        <f>Table1[[#This Row],[Delivery Cost]]/Table1[[#This Row],[Revenue]]</f>
        <v>4.1666666666666671E-2</v>
      </c>
      <c r="N969" t="str">
        <f t="shared" si="15"/>
        <v>Nov</v>
      </c>
    </row>
    <row r="970" spans="1:14" x14ac:dyDescent="0.2">
      <c r="A970" s="1">
        <v>45511</v>
      </c>
      <c r="B970" t="s">
        <v>26</v>
      </c>
      <c r="C970" t="s">
        <v>20</v>
      </c>
      <c r="D970" t="s">
        <v>18</v>
      </c>
      <c r="E970">
        <v>683</v>
      </c>
      <c r="F970">
        <v>1.2</v>
      </c>
      <c r="G970">
        <v>1</v>
      </c>
      <c r="H970">
        <v>819.6</v>
      </c>
      <c r="I970">
        <v>683</v>
      </c>
      <c r="J970">
        <v>136.6</v>
      </c>
      <c r="K970">
        <f>Table1[[#This Row],[Liters_Sold]]</f>
        <v>683</v>
      </c>
      <c r="L970">
        <f>Table1[[#This Row],[Delivery volume]]*0.05</f>
        <v>34.15</v>
      </c>
      <c r="M970" s="16">
        <f>Table1[[#This Row],[Delivery Cost]]/Table1[[#This Row],[Revenue]]</f>
        <v>4.1666666666666664E-2</v>
      </c>
      <c r="N970" t="str">
        <f t="shared" si="15"/>
        <v>Aug</v>
      </c>
    </row>
    <row r="971" spans="1:14" x14ac:dyDescent="0.2">
      <c r="A971" s="1">
        <v>45366</v>
      </c>
      <c r="B971" t="s">
        <v>28</v>
      </c>
      <c r="C971" t="s">
        <v>20</v>
      </c>
      <c r="D971" t="s">
        <v>14</v>
      </c>
      <c r="E971">
        <v>3858</v>
      </c>
      <c r="F971">
        <v>0.9</v>
      </c>
      <c r="G971">
        <v>0.7</v>
      </c>
      <c r="H971">
        <v>3472.2</v>
      </c>
      <c r="I971">
        <v>2700.6</v>
      </c>
      <c r="J971">
        <v>771.6</v>
      </c>
      <c r="K971">
        <f>Table1[[#This Row],[Liters_Sold]]</f>
        <v>3858</v>
      </c>
      <c r="L971">
        <f>Table1[[#This Row],[Delivery volume]]*0.05</f>
        <v>192.9</v>
      </c>
      <c r="M971" s="16">
        <f>Table1[[#This Row],[Delivery Cost]]/Table1[[#This Row],[Revenue]]</f>
        <v>5.5555555555555559E-2</v>
      </c>
      <c r="N971" t="str">
        <f t="shared" si="15"/>
        <v>Mar</v>
      </c>
    </row>
    <row r="972" spans="1:14" x14ac:dyDescent="0.2">
      <c r="A972" s="1">
        <v>45295</v>
      </c>
      <c r="B972" t="s">
        <v>26</v>
      </c>
      <c r="C972" t="s">
        <v>20</v>
      </c>
      <c r="D972" t="s">
        <v>12</v>
      </c>
      <c r="E972">
        <v>1898</v>
      </c>
      <c r="F972">
        <v>1.25</v>
      </c>
      <c r="G972">
        <v>1.05</v>
      </c>
      <c r="H972">
        <v>2372.5</v>
      </c>
      <c r="I972">
        <v>1992.9</v>
      </c>
      <c r="J972">
        <v>379.599999999999</v>
      </c>
      <c r="K972">
        <f>Table1[[#This Row],[Liters_Sold]]</f>
        <v>1898</v>
      </c>
      <c r="L972">
        <f>Table1[[#This Row],[Delivery volume]]*0.05</f>
        <v>94.9</v>
      </c>
      <c r="M972" s="16">
        <f>Table1[[#This Row],[Delivery Cost]]/Table1[[#This Row],[Revenue]]</f>
        <v>0.04</v>
      </c>
      <c r="N972" t="str">
        <f t="shared" si="15"/>
        <v>Jan</v>
      </c>
    </row>
    <row r="973" spans="1:14" x14ac:dyDescent="0.2">
      <c r="A973" s="1">
        <v>45626</v>
      </c>
      <c r="B973" t="s">
        <v>24</v>
      </c>
      <c r="C973" t="s">
        <v>23</v>
      </c>
      <c r="D973" t="s">
        <v>18</v>
      </c>
      <c r="E973">
        <v>3296</v>
      </c>
      <c r="F973">
        <v>1.2</v>
      </c>
      <c r="G973">
        <v>1</v>
      </c>
      <c r="H973">
        <v>3955.2</v>
      </c>
      <c r="I973">
        <v>3296</v>
      </c>
      <c r="J973">
        <v>659.19999999999902</v>
      </c>
      <c r="K973">
        <f>Table1[[#This Row],[Liters_Sold]]</f>
        <v>3296</v>
      </c>
      <c r="L973">
        <f>Table1[[#This Row],[Delivery volume]]*0.05</f>
        <v>164.8</v>
      </c>
      <c r="M973" s="16">
        <f>Table1[[#This Row],[Delivery Cost]]/Table1[[#This Row],[Revenue]]</f>
        <v>4.1666666666666671E-2</v>
      </c>
      <c r="N973" t="str">
        <f t="shared" si="15"/>
        <v>Nov</v>
      </c>
    </row>
    <row r="974" spans="1:14" x14ac:dyDescent="0.2">
      <c r="A974" s="1">
        <v>45425</v>
      </c>
      <c r="B974" t="s">
        <v>32</v>
      </c>
      <c r="C974" t="s">
        <v>20</v>
      </c>
      <c r="D974" t="s">
        <v>18</v>
      </c>
      <c r="E974">
        <v>1036</v>
      </c>
      <c r="F974">
        <v>1.2</v>
      </c>
      <c r="G974">
        <v>1</v>
      </c>
      <c r="H974">
        <v>1243.2</v>
      </c>
      <c r="I974">
        <v>1036</v>
      </c>
      <c r="J974">
        <v>207.2</v>
      </c>
      <c r="K974">
        <f>Table1[[#This Row],[Liters_Sold]]</f>
        <v>1036</v>
      </c>
      <c r="L974">
        <f>Table1[[#This Row],[Delivery volume]]*0.05</f>
        <v>51.800000000000004</v>
      </c>
      <c r="M974" s="16">
        <f>Table1[[#This Row],[Delivery Cost]]/Table1[[#This Row],[Revenue]]</f>
        <v>4.1666666666666671E-2</v>
      </c>
      <c r="N974" t="str">
        <f t="shared" si="15"/>
        <v>May</v>
      </c>
    </row>
    <row r="975" spans="1:14" x14ac:dyDescent="0.2">
      <c r="A975" s="1">
        <v>45409</v>
      </c>
      <c r="B975" t="s">
        <v>24</v>
      </c>
      <c r="C975" t="s">
        <v>23</v>
      </c>
      <c r="D975" t="s">
        <v>14</v>
      </c>
      <c r="E975">
        <v>1773</v>
      </c>
      <c r="F975">
        <v>0.9</v>
      </c>
      <c r="G975">
        <v>0.7</v>
      </c>
      <c r="H975">
        <v>1595.7</v>
      </c>
      <c r="I975">
        <v>1241.0999999999999</v>
      </c>
      <c r="J975">
        <v>354.6</v>
      </c>
      <c r="K975">
        <f>Table1[[#This Row],[Liters_Sold]]</f>
        <v>1773</v>
      </c>
      <c r="L975">
        <f>Table1[[#This Row],[Delivery volume]]*0.05</f>
        <v>88.65</v>
      </c>
      <c r="M975" s="16">
        <f>Table1[[#This Row],[Delivery Cost]]/Table1[[#This Row],[Revenue]]</f>
        <v>5.5555555555555559E-2</v>
      </c>
      <c r="N975" t="str">
        <f t="shared" si="15"/>
        <v>Apr</v>
      </c>
    </row>
    <row r="976" spans="1:14" x14ac:dyDescent="0.2">
      <c r="A976" s="1">
        <v>45385</v>
      </c>
      <c r="B976" t="s">
        <v>15</v>
      </c>
      <c r="C976" t="s">
        <v>20</v>
      </c>
      <c r="D976" t="s">
        <v>12</v>
      </c>
      <c r="E976">
        <v>3467</v>
      </c>
      <c r="F976">
        <v>1.25</v>
      </c>
      <c r="G976">
        <v>1.05</v>
      </c>
      <c r="H976">
        <v>4333.75</v>
      </c>
      <c r="I976">
        <v>3640.35</v>
      </c>
      <c r="J976">
        <v>693.39999999999895</v>
      </c>
      <c r="K976">
        <f>Table1[[#This Row],[Liters_Sold]]</f>
        <v>3467</v>
      </c>
      <c r="L976">
        <f>Table1[[#This Row],[Delivery volume]]*0.05</f>
        <v>173.35000000000002</v>
      </c>
      <c r="M976" s="16">
        <f>Table1[[#This Row],[Delivery Cost]]/Table1[[#This Row],[Revenue]]</f>
        <v>4.0000000000000008E-2</v>
      </c>
      <c r="N976" t="str">
        <f t="shared" si="15"/>
        <v>Apr</v>
      </c>
    </row>
    <row r="977" spans="1:14" x14ac:dyDescent="0.2">
      <c r="A977" s="1">
        <v>45353</v>
      </c>
      <c r="B977" t="s">
        <v>13</v>
      </c>
      <c r="C977" t="s">
        <v>11</v>
      </c>
      <c r="D977" t="s">
        <v>18</v>
      </c>
      <c r="E977">
        <v>3549</v>
      </c>
      <c r="F977">
        <v>1.2</v>
      </c>
      <c r="G977">
        <v>1</v>
      </c>
      <c r="H977">
        <v>4258.8</v>
      </c>
      <c r="I977">
        <v>3549</v>
      </c>
      <c r="J977">
        <v>709.8</v>
      </c>
      <c r="K977">
        <f>Table1[[#This Row],[Liters_Sold]]</f>
        <v>3549</v>
      </c>
      <c r="L977">
        <f>Table1[[#This Row],[Delivery volume]]*0.05</f>
        <v>177.45000000000002</v>
      </c>
      <c r="M977" s="16">
        <f>Table1[[#This Row],[Delivery Cost]]/Table1[[#This Row],[Revenue]]</f>
        <v>4.1666666666666671E-2</v>
      </c>
      <c r="N977" t="str">
        <f t="shared" si="15"/>
        <v>Mar</v>
      </c>
    </row>
    <row r="978" spans="1:14" x14ac:dyDescent="0.2">
      <c r="A978" s="1">
        <v>45485</v>
      </c>
      <c r="B978" t="s">
        <v>21</v>
      </c>
      <c r="C978" t="s">
        <v>20</v>
      </c>
      <c r="D978" t="s">
        <v>18</v>
      </c>
      <c r="E978">
        <v>1596</v>
      </c>
      <c r="F978">
        <v>1.2</v>
      </c>
      <c r="G978">
        <v>1</v>
      </c>
      <c r="H978">
        <v>1915.19999999999</v>
      </c>
      <c r="I978">
        <v>1596</v>
      </c>
      <c r="J978">
        <v>319.19999999999902</v>
      </c>
      <c r="K978">
        <f>Table1[[#This Row],[Liters_Sold]]</f>
        <v>1596</v>
      </c>
      <c r="L978">
        <f>Table1[[#This Row],[Delivery volume]]*0.05</f>
        <v>79.800000000000011</v>
      </c>
      <c r="M978" s="16">
        <f>Table1[[#This Row],[Delivery Cost]]/Table1[[#This Row],[Revenue]]</f>
        <v>4.1666666666666886E-2</v>
      </c>
      <c r="N978" t="str">
        <f t="shared" si="15"/>
        <v>Jul</v>
      </c>
    </row>
    <row r="979" spans="1:14" x14ac:dyDescent="0.2">
      <c r="A979" s="1">
        <v>45626</v>
      </c>
      <c r="B979" t="s">
        <v>19</v>
      </c>
      <c r="C979" t="s">
        <v>29</v>
      </c>
      <c r="D979" t="s">
        <v>12</v>
      </c>
      <c r="E979">
        <v>1805</v>
      </c>
      <c r="F979">
        <v>1.25</v>
      </c>
      <c r="G979">
        <v>1.05</v>
      </c>
      <c r="H979">
        <v>2256.25</v>
      </c>
      <c r="I979">
        <v>1895.25</v>
      </c>
      <c r="J979">
        <v>361</v>
      </c>
      <c r="K979">
        <f>Table1[[#This Row],[Liters_Sold]]</f>
        <v>1805</v>
      </c>
      <c r="L979">
        <f>Table1[[#This Row],[Delivery volume]]*0.05</f>
        <v>90.25</v>
      </c>
      <c r="M979" s="16">
        <f>Table1[[#This Row],[Delivery Cost]]/Table1[[#This Row],[Revenue]]</f>
        <v>0.04</v>
      </c>
      <c r="N979" t="str">
        <f t="shared" si="15"/>
        <v>Nov</v>
      </c>
    </row>
    <row r="980" spans="1:14" x14ac:dyDescent="0.2">
      <c r="A980" s="1">
        <v>45494</v>
      </c>
      <c r="B980" t="s">
        <v>15</v>
      </c>
      <c r="C980" t="s">
        <v>20</v>
      </c>
      <c r="D980" t="s">
        <v>12</v>
      </c>
      <c r="E980">
        <v>1415</v>
      </c>
      <c r="F980">
        <v>1.25</v>
      </c>
      <c r="G980">
        <v>1.05</v>
      </c>
      <c r="H980">
        <v>1768.75</v>
      </c>
      <c r="I980">
        <v>1485.75</v>
      </c>
      <c r="J980">
        <v>283</v>
      </c>
      <c r="K980">
        <f>Table1[[#This Row],[Liters_Sold]]</f>
        <v>1415</v>
      </c>
      <c r="L980">
        <f>Table1[[#This Row],[Delivery volume]]*0.05</f>
        <v>70.75</v>
      </c>
      <c r="M980" s="16">
        <f>Table1[[#This Row],[Delivery Cost]]/Table1[[#This Row],[Revenue]]</f>
        <v>0.04</v>
      </c>
      <c r="N980" t="str">
        <f t="shared" si="15"/>
        <v>Jul</v>
      </c>
    </row>
    <row r="981" spans="1:14" x14ac:dyDescent="0.2">
      <c r="A981" s="1">
        <v>45317</v>
      </c>
      <c r="B981" t="s">
        <v>31</v>
      </c>
      <c r="C981" t="s">
        <v>17</v>
      </c>
      <c r="D981" t="s">
        <v>14</v>
      </c>
      <c r="E981">
        <v>3581</v>
      </c>
      <c r="F981">
        <v>0.9</v>
      </c>
      <c r="G981">
        <v>0.7</v>
      </c>
      <c r="H981">
        <v>3222.9</v>
      </c>
      <c r="I981">
        <v>2506.6999999999998</v>
      </c>
      <c r="J981">
        <v>716.2</v>
      </c>
      <c r="K981">
        <f>Table1[[#This Row],[Liters_Sold]]</f>
        <v>3581</v>
      </c>
      <c r="L981">
        <f>Table1[[#This Row],[Delivery volume]]*0.05</f>
        <v>179.05</v>
      </c>
      <c r="M981" s="16">
        <f>Table1[[#This Row],[Delivery Cost]]/Table1[[#This Row],[Revenue]]</f>
        <v>5.5555555555555559E-2</v>
      </c>
      <c r="N981" t="str">
        <f t="shared" si="15"/>
        <v>Jan</v>
      </c>
    </row>
    <row r="982" spans="1:14" x14ac:dyDescent="0.2">
      <c r="A982" s="1">
        <v>45464</v>
      </c>
      <c r="B982" t="s">
        <v>28</v>
      </c>
      <c r="C982" t="s">
        <v>20</v>
      </c>
      <c r="D982" t="s">
        <v>12</v>
      </c>
      <c r="E982">
        <v>4747</v>
      </c>
      <c r="F982">
        <v>1.25</v>
      </c>
      <c r="G982">
        <v>1.05</v>
      </c>
      <c r="H982">
        <v>5933.75</v>
      </c>
      <c r="I982">
        <v>4984.3500000000004</v>
      </c>
      <c r="J982">
        <v>949.39999999999895</v>
      </c>
      <c r="K982">
        <f>Table1[[#This Row],[Liters_Sold]]</f>
        <v>4747</v>
      </c>
      <c r="L982">
        <f>Table1[[#This Row],[Delivery volume]]*0.05</f>
        <v>237.35000000000002</v>
      </c>
      <c r="M982" s="16">
        <f>Table1[[#This Row],[Delivery Cost]]/Table1[[#This Row],[Revenue]]</f>
        <v>0.04</v>
      </c>
      <c r="N982" t="str">
        <f t="shared" si="15"/>
        <v>Jun</v>
      </c>
    </row>
    <row r="983" spans="1:14" x14ac:dyDescent="0.2">
      <c r="A983" s="1">
        <v>45591</v>
      </c>
      <c r="B983" t="s">
        <v>10</v>
      </c>
      <c r="C983" t="s">
        <v>29</v>
      </c>
      <c r="D983" t="s">
        <v>12</v>
      </c>
      <c r="E983">
        <v>1528</v>
      </c>
      <c r="F983">
        <v>1.25</v>
      </c>
      <c r="G983">
        <v>1.05</v>
      </c>
      <c r="H983">
        <v>1910</v>
      </c>
      <c r="I983">
        <v>1604.4</v>
      </c>
      <c r="J983">
        <v>305.599999999999</v>
      </c>
      <c r="K983">
        <f>Table1[[#This Row],[Liters_Sold]]</f>
        <v>1528</v>
      </c>
      <c r="L983">
        <f>Table1[[#This Row],[Delivery volume]]*0.05</f>
        <v>76.400000000000006</v>
      </c>
      <c r="M983" s="16">
        <f>Table1[[#This Row],[Delivery Cost]]/Table1[[#This Row],[Revenue]]</f>
        <v>0.04</v>
      </c>
      <c r="N983" t="str">
        <f t="shared" si="15"/>
        <v>Oct</v>
      </c>
    </row>
    <row r="984" spans="1:14" x14ac:dyDescent="0.2">
      <c r="A984" s="1">
        <v>45424</v>
      </c>
      <c r="B984" t="s">
        <v>28</v>
      </c>
      <c r="C984" t="s">
        <v>29</v>
      </c>
      <c r="D984" t="s">
        <v>12</v>
      </c>
      <c r="E984">
        <v>5814</v>
      </c>
      <c r="F984">
        <v>1.25</v>
      </c>
      <c r="G984">
        <v>1.05</v>
      </c>
      <c r="H984">
        <v>7267.5</v>
      </c>
      <c r="I984">
        <v>6104.7</v>
      </c>
      <c r="J984">
        <v>1162.8</v>
      </c>
      <c r="K984">
        <f>Table1[[#This Row],[Liters_Sold]]</f>
        <v>5814</v>
      </c>
      <c r="L984">
        <f>Table1[[#This Row],[Delivery volume]]*0.05</f>
        <v>290.7</v>
      </c>
      <c r="M984" s="16">
        <f>Table1[[#This Row],[Delivery Cost]]/Table1[[#This Row],[Revenue]]</f>
        <v>0.04</v>
      </c>
      <c r="N984" t="str">
        <f t="shared" si="15"/>
        <v>May</v>
      </c>
    </row>
    <row r="985" spans="1:14" x14ac:dyDescent="0.2">
      <c r="A985" s="1">
        <v>45617</v>
      </c>
      <c r="B985" t="s">
        <v>15</v>
      </c>
      <c r="C985" t="s">
        <v>23</v>
      </c>
      <c r="D985" t="s">
        <v>14</v>
      </c>
      <c r="E985">
        <v>2477</v>
      </c>
      <c r="F985">
        <v>0.9</v>
      </c>
      <c r="G985">
        <v>0.7</v>
      </c>
      <c r="H985">
        <v>2229.3000000000002</v>
      </c>
      <c r="I985">
        <v>1733.8999999999901</v>
      </c>
      <c r="J985">
        <v>495.4</v>
      </c>
      <c r="K985">
        <f>Table1[[#This Row],[Liters_Sold]]</f>
        <v>2477</v>
      </c>
      <c r="L985">
        <f>Table1[[#This Row],[Delivery volume]]*0.05</f>
        <v>123.85000000000001</v>
      </c>
      <c r="M985" s="16">
        <f>Table1[[#This Row],[Delivery Cost]]/Table1[[#This Row],[Revenue]]</f>
        <v>5.5555555555555552E-2</v>
      </c>
      <c r="N985" t="str">
        <f t="shared" si="15"/>
        <v>Nov</v>
      </c>
    </row>
    <row r="986" spans="1:14" x14ac:dyDescent="0.2">
      <c r="A986" s="1">
        <v>45409</v>
      </c>
      <c r="B986" t="s">
        <v>15</v>
      </c>
      <c r="C986" t="s">
        <v>11</v>
      </c>
      <c r="D986" t="s">
        <v>18</v>
      </c>
      <c r="E986">
        <v>3854</v>
      </c>
      <c r="F986">
        <v>1.2</v>
      </c>
      <c r="G986">
        <v>1</v>
      </c>
      <c r="H986">
        <v>4624.8</v>
      </c>
      <c r="I986">
        <v>3854</v>
      </c>
      <c r="J986">
        <v>770.8</v>
      </c>
      <c r="K986">
        <f>Table1[[#This Row],[Liters_Sold]]</f>
        <v>3854</v>
      </c>
      <c r="L986">
        <f>Table1[[#This Row],[Delivery volume]]*0.05</f>
        <v>192.70000000000002</v>
      </c>
      <c r="M986" s="16">
        <f>Table1[[#This Row],[Delivery Cost]]/Table1[[#This Row],[Revenue]]</f>
        <v>4.1666666666666671E-2</v>
      </c>
      <c r="N986" t="str">
        <f t="shared" si="15"/>
        <v>Apr</v>
      </c>
    </row>
    <row r="987" spans="1:14" x14ac:dyDescent="0.2">
      <c r="A987" s="1">
        <v>45615</v>
      </c>
      <c r="B987" t="s">
        <v>16</v>
      </c>
      <c r="C987" t="s">
        <v>20</v>
      </c>
      <c r="D987" t="s">
        <v>18</v>
      </c>
      <c r="E987">
        <v>3011</v>
      </c>
      <c r="F987">
        <v>1.2</v>
      </c>
      <c r="G987">
        <v>1</v>
      </c>
      <c r="H987">
        <v>3613.2</v>
      </c>
      <c r="I987">
        <v>3011</v>
      </c>
      <c r="J987">
        <v>602.19999999999902</v>
      </c>
      <c r="K987">
        <f>Table1[[#This Row],[Liters_Sold]]</f>
        <v>3011</v>
      </c>
      <c r="L987">
        <f>Table1[[#This Row],[Delivery volume]]*0.05</f>
        <v>150.55000000000001</v>
      </c>
      <c r="M987" s="16">
        <f>Table1[[#This Row],[Delivery Cost]]/Table1[[#This Row],[Revenue]]</f>
        <v>4.1666666666666671E-2</v>
      </c>
      <c r="N987" t="str">
        <f t="shared" si="15"/>
        <v>Nov</v>
      </c>
    </row>
    <row r="988" spans="1:14" x14ac:dyDescent="0.2">
      <c r="A988" s="1">
        <v>45566</v>
      </c>
      <c r="B988" t="s">
        <v>13</v>
      </c>
      <c r="C988" t="s">
        <v>23</v>
      </c>
      <c r="D988" t="s">
        <v>12</v>
      </c>
      <c r="E988">
        <v>770</v>
      </c>
      <c r="F988">
        <v>1.25</v>
      </c>
      <c r="G988">
        <v>1.05</v>
      </c>
      <c r="H988">
        <v>962.5</v>
      </c>
      <c r="I988">
        <v>808.5</v>
      </c>
      <c r="J988">
        <v>154</v>
      </c>
      <c r="K988">
        <f>Table1[[#This Row],[Liters_Sold]]</f>
        <v>770</v>
      </c>
      <c r="L988">
        <f>Table1[[#This Row],[Delivery volume]]*0.05</f>
        <v>38.5</v>
      </c>
      <c r="M988" s="16">
        <f>Table1[[#This Row],[Delivery Cost]]/Table1[[#This Row],[Revenue]]</f>
        <v>0.04</v>
      </c>
      <c r="N988" t="str">
        <f t="shared" si="15"/>
        <v>Oct</v>
      </c>
    </row>
    <row r="989" spans="1:14" x14ac:dyDescent="0.2">
      <c r="A989" s="1">
        <v>45503</v>
      </c>
      <c r="B989" t="s">
        <v>24</v>
      </c>
      <c r="C989" t="s">
        <v>11</v>
      </c>
      <c r="D989" t="s">
        <v>18</v>
      </c>
      <c r="E989">
        <v>1686</v>
      </c>
      <c r="F989">
        <v>1.2</v>
      </c>
      <c r="G989">
        <v>1</v>
      </c>
      <c r="H989">
        <v>2023.19999999999</v>
      </c>
      <c r="I989">
        <v>1686</v>
      </c>
      <c r="J989">
        <v>337.19999999999902</v>
      </c>
      <c r="K989">
        <f>Table1[[#This Row],[Liters_Sold]]</f>
        <v>1686</v>
      </c>
      <c r="L989">
        <f>Table1[[#This Row],[Delivery volume]]*0.05</f>
        <v>84.300000000000011</v>
      </c>
      <c r="M989" s="16">
        <f>Table1[[#This Row],[Delivery Cost]]/Table1[[#This Row],[Revenue]]</f>
        <v>4.1666666666666879E-2</v>
      </c>
      <c r="N989" t="str">
        <f t="shared" si="15"/>
        <v>Jul</v>
      </c>
    </row>
    <row r="990" spans="1:14" x14ac:dyDescent="0.2">
      <c r="A990" s="1">
        <v>45516</v>
      </c>
      <c r="B990" t="s">
        <v>10</v>
      </c>
      <c r="C990" t="s">
        <v>20</v>
      </c>
      <c r="D990" t="s">
        <v>18</v>
      </c>
      <c r="E990">
        <v>5055</v>
      </c>
      <c r="F990">
        <v>1.2</v>
      </c>
      <c r="G990">
        <v>1</v>
      </c>
      <c r="H990">
        <v>6066</v>
      </c>
      <c r="I990">
        <v>5055</v>
      </c>
      <c r="J990">
        <v>1011</v>
      </c>
      <c r="K990">
        <f>Table1[[#This Row],[Liters_Sold]]</f>
        <v>5055</v>
      </c>
      <c r="L990">
        <f>Table1[[#This Row],[Delivery volume]]*0.05</f>
        <v>252.75</v>
      </c>
      <c r="M990" s="16">
        <f>Table1[[#This Row],[Delivery Cost]]/Table1[[#This Row],[Revenue]]</f>
        <v>4.1666666666666664E-2</v>
      </c>
      <c r="N990" t="str">
        <f t="shared" si="15"/>
        <v>Aug</v>
      </c>
    </row>
    <row r="991" spans="1:14" x14ac:dyDescent="0.2">
      <c r="A991" s="1">
        <v>45311</v>
      </c>
      <c r="B991" t="s">
        <v>32</v>
      </c>
      <c r="C991" t="s">
        <v>17</v>
      </c>
      <c r="D991" t="s">
        <v>18</v>
      </c>
      <c r="E991">
        <v>4700</v>
      </c>
      <c r="F991">
        <v>1.2</v>
      </c>
      <c r="G991">
        <v>1</v>
      </c>
      <c r="H991">
        <v>5640</v>
      </c>
      <c r="I991">
        <v>4700</v>
      </c>
      <c r="J991">
        <v>940</v>
      </c>
      <c r="K991">
        <f>Table1[[#This Row],[Liters_Sold]]</f>
        <v>4700</v>
      </c>
      <c r="L991">
        <f>Table1[[#This Row],[Delivery volume]]*0.05</f>
        <v>235</v>
      </c>
      <c r="M991" s="16">
        <f>Table1[[#This Row],[Delivery Cost]]/Table1[[#This Row],[Revenue]]</f>
        <v>4.1666666666666664E-2</v>
      </c>
      <c r="N991" t="str">
        <f t="shared" si="15"/>
        <v>Jan</v>
      </c>
    </row>
    <row r="992" spans="1:14" x14ac:dyDescent="0.2">
      <c r="A992" s="1">
        <v>45404</v>
      </c>
      <c r="B992" t="s">
        <v>13</v>
      </c>
      <c r="C992" t="s">
        <v>20</v>
      </c>
      <c r="D992" t="s">
        <v>14</v>
      </c>
      <c r="E992">
        <v>4264</v>
      </c>
      <c r="F992">
        <v>0.9</v>
      </c>
      <c r="G992">
        <v>0.7</v>
      </c>
      <c r="H992">
        <v>3837.6</v>
      </c>
      <c r="I992">
        <v>2984.7999999999902</v>
      </c>
      <c r="J992">
        <v>852.8</v>
      </c>
      <c r="K992">
        <f>Table1[[#This Row],[Liters_Sold]]</f>
        <v>4264</v>
      </c>
      <c r="L992">
        <f>Table1[[#This Row],[Delivery volume]]*0.05</f>
        <v>213.20000000000002</v>
      </c>
      <c r="M992" s="16">
        <f>Table1[[#This Row],[Delivery Cost]]/Table1[[#This Row],[Revenue]]</f>
        <v>5.5555555555555559E-2</v>
      </c>
      <c r="N992" t="str">
        <f t="shared" si="15"/>
        <v>Apr</v>
      </c>
    </row>
    <row r="993" spans="1:14" x14ac:dyDescent="0.2">
      <c r="A993" s="1">
        <v>45431</v>
      </c>
      <c r="B993" t="s">
        <v>22</v>
      </c>
      <c r="C993" t="s">
        <v>29</v>
      </c>
      <c r="D993" t="s">
        <v>12</v>
      </c>
      <c r="E993">
        <v>2898</v>
      </c>
      <c r="F993">
        <v>1.25</v>
      </c>
      <c r="G993">
        <v>1.05</v>
      </c>
      <c r="H993">
        <v>3622.5</v>
      </c>
      <c r="I993">
        <v>3042.9</v>
      </c>
      <c r="J993">
        <v>579.599999999999</v>
      </c>
      <c r="K993">
        <f>Table1[[#This Row],[Liters_Sold]]</f>
        <v>2898</v>
      </c>
      <c r="L993">
        <f>Table1[[#This Row],[Delivery volume]]*0.05</f>
        <v>144.9</v>
      </c>
      <c r="M993" s="16">
        <f>Table1[[#This Row],[Delivery Cost]]/Table1[[#This Row],[Revenue]]</f>
        <v>0.04</v>
      </c>
      <c r="N993" t="str">
        <f t="shared" si="15"/>
        <v>May</v>
      </c>
    </row>
    <row r="994" spans="1:14" x14ac:dyDescent="0.2">
      <c r="A994" s="1">
        <v>45338</v>
      </c>
      <c r="B994" t="s">
        <v>16</v>
      </c>
      <c r="C994" t="s">
        <v>29</v>
      </c>
      <c r="D994" t="s">
        <v>18</v>
      </c>
      <c r="E994">
        <v>5029</v>
      </c>
      <c r="F994">
        <v>1.2</v>
      </c>
      <c r="G994">
        <v>1</v>
      </c>
      <c r="H994">
        <v>6034.8</v>
      </c>
      <c r="I994">
        <v>5029</v>
      </c>
      <c r="J994">
        <v>1005.8</v>
      </c>
      <c r="K994">
        <f>Table1[[#This Row],[Liters_Sold]]</f>
        <v>5029</v>
      </c>
      <c r="L994">
        <f>Table1[[#This Row],[Delivery volume]]*0.05</f>
        <v>251.45000000000002</v>
      </c>
      <c r="M994" s="16">
        <f>Table1[[#This Row],[Delivery Cost]]/Table1[[#This Row],[Revenue]]</f>
        <v>4.1666666666666671E-2</v>
      </c>
      <c r="N994" t="str">
        <f t="shared" si="15"/>
        <v>Feb</v>
      </c>
    </row>
    <row r="995" spans="1:14" x14ac:dyDescent="0.2">
      <c r="A995" s="1">
        <v>45292</v>
      </c>
      <c r="B995" t="s">
        <v>16</v>
      </c>
      <c r="C995" t="s">
        <v>17</v>
      </c>
      <c r="D995" t="s">
        <v>12</v>
      </c>
      <c r="E995">
        <v>4735</v>
      </c>
      <c r="F995">
        <v>1.25</v>
      </c>
      <c r="G995">
        <v>1.05</v>
      </c>
      <c r="H995">
        <v>5918.75</v>
      </c>
      <c r="I995">
        <v>4971.75</v>
      </c>
      <c r="J995">
        <v>947</v>
      </c>
      <c r="K995">
        <f>Table1[[#This Row],[Liters_Sold]]</f>
        <v>4735</v>
      </c>
      <c r="L995">
        <f>Table1[[#This Row],[Delivery volume]]*0.05</f>
        <v>236.75</v>
      </c>
      <c r="M995" s="16">
        <f>Table1[[#This Row],[Delivery Cost]]/Table1[[#This Row],[Revenue]]</f>
        <v>0.04</v>
      </c>
      <c r="N995" t="str">
        <f t="shared" si="15"/>
        <v>Jan</v>
      </c>
    </row>
    <row r="996" spans="1:14" x14ac:dyDescent="0.2">
      <c r="A996" s="1">
        <v>45381</v>
      </c>
      <c r="B996" t="s">
        <v>19</v>
      </c>
      <c r="C996" t="s">
        <v>23</v>
      </c>
      <c r="D996" t="s">
        <v>18</v>
      </c>
      <c r="E996">
        <v>4682</v>
      </c>
      <c r="F996">
        <v>1.2</v>
      </c>
      <c r="G996">
        <v>1</v>
      </c>
      <c r="H996">
        <v>5618.4</v>
      </c>
      <c r="I996">
        <v>4682</v>
      </c>
      <c r="J996">
        <v>936.39999999999895</v>
      </c>
      <c r="K996">
        <f>Table1[[#This Row],[Liters_Sold]]</f>
        <v>4682</v>
      </c>
      <c r="L996">
        <f>Table1[[#This Row],[Delivery volume]]*0.05</f>
        <v>234.10000000000002</v>
      </c>
      <c r="M996" s="16">
        <f>Table1[[#This Row],[Delivery Cost]]/Table1[[#This Row],[Revenue]]</f>
        <v>4.1666666666666671E-2</v>
      </c>
      <c r="N996" t="str">
        <f t="shared" si="15"/>
        <v>Mar</v>
      </c>
    </row>
    <row r="997" spans="1:14" x14ac:dyDescent="0.2">
      <c r="A997" s="1">
        <v>45433</v>
      </c>
      <c r="B997" t="s">
        <v>21</v>
      </c>
      <c r="C997" t="s">
        <v>11</v>
      </c>
      <c r="D997" t="s">
        <v>12</v>
      </c>
      <c r="E997">
        <v>2211</v>
      </c>
      <c r="F997">
        <v>1.25</v>
      </c>
      <c r="G997">
        <v>1.05</v>
      </c>
      <c r="H997">
        <v>2763.75</v>
      </c>
      <c r="I997">
        <v>2321.5500000000002</v>
      </c>
      <c r="J997">
        <v>442.19999999999902</v>
      </c>
      <c r="K997">
        <f>Table1[[#This Row],[Liters_Sold]]</f>
        <v>2211</v>
      </c>
      <c r="L997">
        <f>Table1[[#This Row],[Delivery volume]]*0.05</f>
        <v>110.55000000000001</v>
      </c>
      <c r="M997" s="16">
        <f>Table1[[#This Row],[Delivery Cost]]/Table1[[#This Row],[Revenue]]</f>
        <v>0.04</v>
      </c>
      <c r="N997" t="str">
        <f t="shared" si="15"/>
        <v>May</v>
      </c>
    </row>
    <row r="998" spans="1:14" x14ac:dyDescent="0.2">
      <c r="A998" s="1">
        <v>45611</v>
      </c>
      <c r="B998" t="s">
        <v>32</v>
      </c>
      <c r="C998" t="s">
        <v>20</v>
      </c>
      <c r="D998" t="s">
        <v>12</v>
      </c>
      <c r="E998">
        <v>2730</v>
      </c>
      <c r="F998">
        <v>1.25</v>
      </c>
      <c r="G998">
        <v>1.05</v>
      </c>
      <c r="H998">
        <v>3412.5</v>
      </c>
      <c r="I998">
        <v>2866.5</v>
      </c>
      <c r="J998">
        <v>546</v>
      </c>
      <c r="K998">
        <f>Table1[[#This Row],[Liters_Sold]]</f>
        <v>2730</v>
      </c>
      <c r="L998">
        <f>Table1[[#This Row],[Delivery volume]]*0.05</f>
        <v>136.5</v>
      </c>
      <c r="M998" s="16">
        <f>Table1[[#This Row],[Delivery Cost]]/Table1[[#This Row],[Revenue]]</f>
        <v>0.04</v>
      </c>
      <c r="N998" t="str">
        <f t="shared" si="15"/>
        <v>Nov</v>
      </c>
    </row>
    <row r="999" spans="1:14" x14ac:dyDescent="0.2">
      <c r="A999" s="1">
        <v>45329</v>
      </c>
      <c r="B999" t="s">
        <v>30</v>
      </c>
      <c r="C999" t="s">
        <v>29</v>
      </c>
      <c r="D999" t="s">
        <v>12</v>
      </c>
      <c r="E999">
        <v>628</v>
      </c>
      <c r="F999">
        <v>1.25</v>
      </c>
      <c r="G999">
        <v>1.05</v>
      </c>
      <c r="H999">
        <v>785</v>
      </c>
      <c r="I999">
        <v>659.4</v>
      </c>
      <c r="J999">
        <v>125.6</v>
      </c>
      <c r="K999">
        <f>Table1[[#This Row],[Liters_Sold]]</f>
        <v>628</v>
      </c>
      <c r="L999">
        <f>Table1[[#This Row],[Delivery volume]]*0.05</f>
        <v>31.400000000000002</v>
      </c>
      <c r="M999" s="16">
        <f>Table1[[#This Row],[Delivery Cost]]/Table1[[#This Row],[Revenue]]</f>
        <v>0.04</v>
      </c>
      <c r="N999" t="str">
        <f t="shared" si="15"/>
        <v>Feb</v>
      </c>
    </row>
    <row r="1000" spans="1:14" x14ac:dyDescent="0.2">
      <c r="A1000" s="1">
        <v>45584</v>
      </c>
      <c r="B1000" t="s">
        <v>25</v>
      </c>
      <c r="C1000" t="s">
        <v>23</v>
      </c>
      <c r="D1000" t="s">
        <v>18</v>
      </c>
      <c r="E1000">
        <v>1769</v>
      </c>
      <c r="F1000">
        <v>1.2</v>
      </c>
      <c r="G1000">
        <v>1</v>
      </c>
      <c r="H1000">
        <v>2122.7999999999902</v>
      </c>
      <c r="I1000">
        <v>1769</v>
      </c>
      <c r="J1000">
        <v>353.79999999999899</v>
      </c>
      <c r="K1000">
        <f>Table1[[#This Row],[Liters_Sold]]</f>
        <v>1769</v>
      </c>
      <c r="L1000">
        <f>Table1[[#This Row],[Delivery volume]]*0.05</f>
        <v>88.45</v>
      </c>
      <c r="M1000" s="16">
        <f>Table1[[#This Row],[Delivery Cost]]/Table1[[#This Row],[Revenue]]</f>
        <v>4.1666666666666859E-2</v>
      </c>
      <c r="N1000" t="str">
        <f t="shared" si="15"/>
        <v>Oct</v>
      </c>
    </row>
    <row r="1001" spans="1:14" x14ac:dyDescent="0.2">
      <c r="A1001" s="1">
        <v>45430</v>
      </c>
      <c r="B1001" t="s">
        <v>30</v>
      </c>
      <c r="C1001" t="s">
        <v>17</v>
      </c>
      <c r="D1001" t="s">
        <v>12</v>
      </c>
      <c r="E1001">
        <v>4172</v>
      </c>
      <c r="F1001">
        <v>1.25</v>
      </c>
      <c r="G1001">
        <v>1.05</v>
      </c>
      <c r="H1001">
        <v>5215</v>
      </c>
      <c r="I1001">
        <v>4380.6000000000004</v>
      </c>
      <c r="J1001">
        <v>834.39999999999895</v>
      </c>
      <c r="K1001">
        <f>Table1[[#This Row],[Liters_Sold]]</f>
        <v>4172</v>
      </c>
      <c r="L1001">
        <f>Table1[[#This Row],[Delivery volume]]*0.05</f>
        <v>208.60000000000002</v>
      </c>
      <c r="M1001" s="16">
        <f>Table1[[#This Row],[Delivery Cost]]/Table1[[#This Row],[Revenue]]</f>
        <v>4.0000000000000008E-2</v>
      </c>
      <c r="N1001" t="str">
        <f t="shared" si="15"/>
        <v>May</v>
      </c>
    </row>
    <row r="1003" spans="1:14" x14ac:dyDescent="0.2">
      <c r="E1003" s="7">
        <f>SUM(E2:E1002)</f>
        <v>3291768</v>
      </c>
      <c r="H1003" s="6">
        <f>SUM(H2:H1002)</f>
        <v>3875218.5999999987</v>
      </c>
      <c r="I1003" s="5">
        <f>SUM(I2:I1002)</f>
        <v>3216864.9999999991</v>
      </c>
      <c r="J1003" s="6">
        <f>SUM(J2:J1002)</f>
        <v>658353.59999999776</v>
      </c>
      <c r="K1003" s="6"/>
      <c r="L1003" s="6"/>
      <c r="M1003" s="6"/>
    </row>
    <row r="1006" spans="1:14" x14ac:dyDescent="0.2">
      <c r="I1006" s="8">
        <f>J1003/H1003</f>
        <v>0.16988811934377018</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5FF9-889B-EE48-9275-3FFC414B718C}">
  <dimension ref="A4:S17"/>
  <sheetViews>
    <sheetView topLeftCell="K1" workbookViewId="0">
      <selection activeCell="E18" sqref="E18"/>
    </sheetView>
  </sheetViews>
  <sheetFormatPr baseColWidth="10" defaultRowHeight="16" x14ac:dyDescent="0.2"/>
  <cols>
    <col min="1" max="1" width="20.33203125" bestFit="1" customWidth="1"/>
    <col min="2" max="2" width="18.33203125" bestFit="1" customWidth="1"/>
    <col min="3" max="3" width="25.6640625" bestFit="1" customWidth="1"/>
    <col min="5" max="5" width="13" bestFit="1" customWidth="1"/>
    <col min="6" max="6" width="20.33203125" bestFit="1" customWidth="1"/>
    <col min="7" max="7" width="25.6640625" bestFit="1" customWidth="1"/>
    <col min="8" max="8" width="10" customWidth="1"/>
    <col min="9" max="9" width="13" bestFit="1" customWidth="1"/>
    <col min="10" max="11" width="18.33203125" bestFit="1" customWidth="1"/>
    <col min="12" max="12" width="18.33203125" customWidth="1"/>
    <col min="14" max="14" width="13" bestFit="1" customWidth="1"/>
    <col min="15" max="16" width="20.33203125" bestFit="1" customWidth="1"/>
    <col min="18" max="18" width="13" bestFit="1" customWidth="1"/>
    <col min="19" max="19" width="20.33203125" bestFit="1" customWidth="1"/>
  </cols>
  <sheetData>
    <row r="4" spans="1:19" x14ac:dyDescent="0.2">
      <c r="A4" t="s">
        <v>57</v>
      </c>
      <c r="B4" t="s">
        <v>58</v>
      </c>
      <c r="C4" t="s">
        <v>59</v>
      </c>
      <c r="E4" s="2" t="s">
        <v>34</v>
      </c>
      <c r="F4" t="s">
        <v>57</v>
      </c>
      <c r="I4" s="2" t="s">
        <v>34</v>
      </c>
      <c r="J4" t="s">
        <v>58</v>
      </c>
      <c r="N4" s="2" t="s">
        <v>34</v>
      </c>
      <c r="O4" t="s">
        <v>57</v>
      </c>
      <c r="R4" s="2" t="s">
        <v>34</v>
      </c>
      <c r="S4" t="s">
        <v>57</v>
      </c>
    </row>
    <row r="5" spans="1:19" x14ac:dyDescent="0.2">
      <c r="A5" s="18">
        <v>3291768</v>
      </c>
      <c r="B5" s="15">
        <v>164588.39999999973</v>
      </c>
      <c r="C5" s="8">
        <v>4.2968333333333025E-2</v>
      </c>
      <c r="E5" s="3" t="s">
        <v>29</v>
      </c>
      <c r="F5" s="17">
        <v>656043</v>
      </c>
      <c r="I5" s="3" t="s">
        <v>18</v>
      </c>
      <c r="J5" s="17">
        <v>59027.900000000009</v>
      </c>
      <c r="N5" s="3" t="s">
        <v>35</v>
      </c>
      <c r="O5" s="17">
        <v>267245</v>
      </c>
      <c r="R5" s="3" t="s">
        <v>21</v>
      </c>
      <c r="S5" s="17">
        <v>259041</v>
      </c>
    </row>
    <row r="6" spans="1:19" x14ac:dyDescent="0.2">
      <c r="A6" s="7">
        <f>GETPIVOTDATA("Sum of Delivery volume",$A$4)</f>
        <v>3291768</v>
      </c>
      <c r="B6" s="15">
        <f>GETPIVOTDATA("Sum of Delivery Cost",$A$4)</f>
        <v>164588.39999999973</v>
      </c>
      <c r="C6" s="8">
        <f>GETPIVOTDATA("Average of Delivery Efficiency",$A$4)</f>
        <v>4.2968333333333025E-2</v>
      </c>
      <c r="E6" s="3" t="s">
        <v>11</v>
      </c>
      <c r="F6" s="17">
        <v>675215</v>
      </c>
      <c r="I6" s="3" t="s">
        <v>14</v>
      </c>
      <c r="J6" s="17">
        <v>25780.499999999989</v>
      </c>
      <c r="N6" s="3" t="s">
        <v>36</v>
      </c>
      <c r="O6" s="17">
        <v>314831</v>
      </c>
      <c r="R6" s="3" t="s">
        <v>26</v>
      </c>
      <c r="S6" s="17">
        <v>230685</v>
      </c>
    </row>
    <row r="7" spans="1:19" x14ac:dyDescent="0.2">
      <c r="E7" s="3" t="s">
        <v>20</v>
      </c>
      <c r="F7" s="17">
        <v>724649</v>
      </c>
      <c r="I7" s="3" t="s">
        <v>12</v>
      </c>
      <c r="J7" s="17">
        <v>79780.000000000029</v>
      </c>
      <c r="N7" s="3" t="s">
        <v>37</v>
      </c>
      <c r="O7" s="17">
        <v>199472</v>
      </c>
      <c r="R7" s="3" t="s">
        <v>16</v>
      </c>
      <c r="S7" s="17">
        <v>251846</v>
      </c>
    </row>
    <row r="8" spans="1:19" x14ac:dyDescent="0.2">
      <c r="E8" s="3" t="s">
        <v>23</v>
      </c>
      <c r="F8" s="17">
        <v>648346</v>
      </c>
      <c r="I8" s="3" t="s">
        <v>47</v>
      </c>
      <c r="J8" s="17">
        <v>164588.40000000002</v>
      </c>
      <c r="N8" s="3" t="s">
        <v>38</v>
      </c>
      <c r="O8" s="17">
        <v>307834</v>
      </c>
      <c r="R8" s="3" t="s">
        <v>15</v>
      </c>
      <c r="S8" s="17">
        <v>244369</v>
      </c>
    </row>
    <row r="9" spans="1:19" x14ac:dyDescent="0.2">
      <c r="E9" s="3" t="s">
        <v>17</v>
      </c>
      <c r="F9" s="17">
        <v>587515</v>
      </c>
      <c r="N9" s="3" t="s">
        <v>39</v>
      </c>
      <c r="O9" s="17">
        <v>330607</v>
      </c>
      <c r="R9" s="3" t="s">
        <v>24</v>
      </c>
      <c r="S9" s="17">
        <v>234920</v>
      </c>
    </row>
    <row r="10" spans="1:19" x14ac:dyDescent="0.2">
      <c r="E10" s="3" t="s">
        <v>47</v>
      </c>
      <c r="F10" s="17">
        <v>3291768</v>
      </c>
      <c r="N10" s="3" t="s">
        <v>40</v>
      </c>
      <c r="O10" s="17">
        <v>240244</v>
      </c>
      <c r="R10" s="3" t="s">
        <v>47</v>
      </c>
      <c r="S10" s="17">
        <v>1220861</v>
      </c>
    </row>
    <row r="11" spans="1:19" x14ac:dyDescent="0.2">
      <c r="N11" s="3" t="s">
        <v>41</v>
      </c>
      <c r="O11" s="17">
        <v>228425</v>
      </c>
    </row>
    <row r="12" spans="1:19" x14ac:dyDescent="0.2">
      <c r="N12" s="3" t="s">
        <v>42</v>
      </c>
      <c r="O12" s="17">
        <v>327336</v>
      </c>
    </row>
    <row r="13" spans="1:19" x14ac:dyDescent="0.2">
      <c r="N13" s="3" t="s">
        <v>43</v>
      </c>
      <c r="O13" s="17">
        <v>282749</v>
      </c>
    </row>
    <row r="14" spans="1:19" x14ac:dyDescent="0.2">
      <c r="N14" s="3" t="s">
        <v>44</v>
      </c>
      <c r="O14" s="17">
        <v>253536</v>
      </c>
    </row>
    <row r="15" spans="1:19" x14ac:dyDescent="0.2">
      <c r="N15" s="3" t="s">
        <v>45</v>
      </c>
      <c r="O15" s="17">
        <v>252367</v>
      </c>
    </row>
    <row r="16" spans="1:19" x14ac:dyDescent="0.2">
      <c r="N16" s="3" t="s">
        <v>46</v>
      </c>
      <c r="O16" s="17">
        <v>287122</v>
      </c>
    </row>
    <row r="17" spans="14:15" x14ac:dyDescent="0.2">
      <c r="N17" s="3" t="s">
        <v>47</v>
      </c>
      <c r="O17" s="17">
        <v>3291768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F7F9-F813-7548-9FB2-EA91A6750756}">
  <dimension ref="A3:S19"/>
  <sheetViews>
    <sheetView workbookViewId="0">
      <selection activeCell="R47" sqref="R47"/>
    </sheetView>
  </sheetViews>
  <sheetFormatPr baseColWidth="10" defaultRowHeight="16" x14ac:dyDescent="0.2"/>
  <cols>
    <col min="1" max="1" width="14.1640625" bestFit="1" customWidth="1"/>
    <col min="2" max="2" width="16" bestFit="1" customWidth="1"/>
    <col min="3" max="3" width="11.5" bestFit="1" customWidth="1"/>
    <col min="4" max="5" width="13" bestFit="1" customWidth="1"/>
    <col min="8" max="8" width="13" bestFit="1" customWidth="1"/>
    <col min="9" max="9" width="14.1640625" bestFit="1" customWidth="1"/>
    <col min="12" max="12" width="14.1640625" bestFit="1" customWidth="1"/>
    <col min="13" max="13" width="16" bestFit="1" customWidth="1"/>
    <col min="14" max="14" width="11.5" bestFit="1" customWidth="1"/>
    <col min="15" max="16" width="13" bestFit="1" customWidth="1"/>
    <col min="18" max="18" width="13" bestFit="1" customWidth="1"/>
    <col min="19" max="19" width="14.1640625" bestFit="1" customWidth="1"/>
  </cols>
  <sheetData>
    <row r="3" spans="1:19" x14ac:dyDescent="0.2">
      <c r="A3" s="2" t="s">
        <v>48</v>
      </c>
      <c r="B3" s="2" t="s">
        <v>49</v>
      </c>
      <c r="H3" s="2" t="s">
        <v>34</v>
      </c>
      <c r="I3" t="s">
        <v>48</v>
      </c>
      <c r="L3" s="2" t="s">
        <v>48</v>
      </c>
      <c r="M3" s="2" t="s">
        <v>49</v>
      </c>
      <c r="R3" s="2" t="s">
        <v>34</v>
      </c>
      <c r="S3" t="s">
        <v>48</v>
      </c>
    </row>
    <row r="4" spans="1:19" x14ac:dyDescent="0.2">
      <c r="A4" s="2" t="s">
        <v>34</v>
      </c>
      <c r="B4" t="s">
        <v>18</v>
      </c>
      <c r="C4" t="s">
        <v>14</v>
      </c>
      <c r="D4" t="s">
        <v>12</v>
      </c>
      <c r="E4" t="s">
        <v>47</v>
      </c>
      <c r="H4" s="3" t="s">
        <v>18</v>
      </c>
      <c r="I4" s="4">
        <v>1416669.5999999999</v>
      </c>
      <c r="L4" s="2" t="s">
        <v>34</v>
      </c>
      <c r="M4" t="s">
        <v>18</v>
      </c>
      <c r="N4" t="s">
        <v>14</v>
      </c>
      <c r="O4" t="s">
        <v>12</v>
      </c>
      <c r="P4" t="s">
        <v>47</v>
      </c>
      <c r="R4" s="3" t="s">
        <v>21</v>
      </c>
      <c r="S4" s="4">
        <v>299590.45</v>
      </c>
    </row>
    <row r="5" spans="1:19" x14ac:dyDescent="0.2">
      <c r="A5" s="3" t="s">
        <v>35</v>
      </c>
      <c r="B5" s="4">
        <v>128193.59999999995</v>
      </c>
      <c r="C5" s="4">
        <v>31170.600000000002</v>
      </c>
      <c r="D5" s="4">
        <v>157228.75</v>
      </c>
      <c r="E5" s="4">
        <v>316592.94999999995</v>
      </c>
      <c r="H5" s="3" t="s">
        <v>14</v>
      </c>
      <c r="I5" s="4">
        <v>464049.00000000006</v>
      </c>
      <c r="L5" s="3" t="s">
        <v>29</v>
      </c>
      <c r="M5" s="4">
        <v>264261.59999999986</v>
      </c>
      <c r="N5" s="4">
        <v>91991.699999999983</v>
      </c>
      <c r="O5" s="4">
        <v>417015</v>
      </c>
      <c r="P5" s="4">
        <v>773268.29999999981</v>
      </c>
      <c r="R5" s="3" t="s">
        <v>16</v>
      </c>
      <c r="S5" s="4">
        <v>298693.24999999994</v>
      </c>
    </row>
    <row r="6" spans="1:19" x14ac:dyDescent="0.2">
      <c r="A6" s="3" t="s">
        <v>36</v>
      </c>
      <c r="B6" s="4">
        <v>154900.7999999999</v>
      </c>
      <c r="C6" s="4">
        <v>39061.799999999996</v>
      </c>
      <c r="D6" s="4">
        <v>177931.25</v>
      </c>
      <c r="E6" s="4">
        <v>371893.84999999986</v>
      </c>
      <c r="H6" s="3" t="s">
        <v>12</v>
      </c>
      <c r="I6" s="4">
        <v>1994500</v>
      </c>
      <c r="L6" s="3" t="s">
        <v>11</v>
      </c>
      <c r="M6" s="4">
        <v>269056.79999999976</v>
      </c>
      <c r="N6" s="4">
        <v>75200.399999999994</v>
      </c>
      <c r="O6" s="4">
        <v>459306.25</v>
      </c>
      <c r="P6" s="4">
        <v>803563.44999999972</v>
      </c>
      <c r="R6" s="3" t="s">
        <v>15</v>
      </c>
      <c r="S6" s="4">
        <v>292308.19999999984</v>
      </c>
    </row>
    <row r="7" spans="1:19" x14ac:dyDescent="0.2">
      <c r="A7" s="3" t="s">
        <v>37</v>
      </c>
      <c r="B7" s="4">
        <v>78847.199999999953</v>
      </c>
      <c r="C7" s="4">
        <v>41498.999999999993</v>
      </c>
      <c r="D7" s="4">
        <v>109570</v>
      </c>
      <c r="E7" s="4">
        <v>229916.19999999995</v>
      </c>
      <c r="H7" s="3" t="s">
        <v>47</v>
      </c>
      <c r="I7" s="4">
        <v>3875218.5999999996</v>
      </c>
      <c r="L7" s="3" t="s">
        <v>20</v>
      </c>
      <c r="M7" s="4">
        <v>333485.99999999977</v>
      </c>
      <c r="N7" s="4">
        <v>99078.3</v>
      </c>
      <c r="O7" s="4">
        <v>420821.25</v>
      </c>
      <c r="P7" s="4">
        <v>853385.54999999981</v>
      </c>
      <c r="R7" s="3" t="s">
        <v>26</v>
      </c>
      <c r="S7" s="4">
        <v>277690.09999999998</v>
      </c>
    </row>
    <row r="8" spans="1:19" x14ac:dyDescent="0.2">
      <c r="A8" s="3" t="s">
        <v>38</v>
      </c>
      <c r="B8" s="4">
        <v>125054.39999999997</v>
      </c>
      <c r="C8" s="4">
        <v>25680.6</v>
      </c>
      <c r="D8" s="4">
        <v>218860</v>
      </c>
      <c r="E8" s="4">
        <v>369595</v>
      </c>
      <c r="L8" s="3" t="s">
        <v>23</v>
      </c>
      <c r="M8" s="4">
        <v>312302.39999999991</v>
      </c>
      <c r="N8" s="4">
        <v>115469.09999999998</v>
      </c>
      <c r="O8" s="4">
        <v>324743.75</v>
      </c>
      <c r="P8" s="4">
        <v>752515.24999999988</v>
      </c>
      <c r="R8" s="3" t="s">
        <v>24</v>
      </c>
      <c r="S8" s="4">
        <v>274373.14999999997</v>
      </c>
    </row>
    <row r="9" spans="1:19" x14ac:dyDescent="0.2">
      <c r="A9" s="3" t="s">
        <v>39</v>
      </c>
      <c r="B9" s="4">
        <v>118289.99999999994</v>
      </c>
      <c r="C9" s="4">
        <v>42241.5</v>
      </c>
      <c r="D9" s="4">
        <v>231371.25</v>
      </c>
      <c r="E9" s="4">
        <v>391902.74999999994</v>
      </c>
      <c r="I9" s="5">
        <f>GETPIVOTDATA("Revenue",$H$3)</f>
        <v>3875218.5999999996</v>
      </c>
      <c r="L9" s="3" t="s">
        <v>17</v>
      </c>
      <c r="M9" s="4">
        <v>237562.79999999981</v>
      </c>
      <c r="N9" s="4">
        <v>82309.5</v>
      </c>
      <c r="O9" s="4">
        <v>372613.75</v>
      </c>
      <c r="P9" s="4">
        <v>692486.04999999981</v>
      </c>
      <c r="R9" s="3" t="s">
        <v>47</v>
      </c>
      <c r="S9" s="4">
        <v>1442655.15</v>
      </c>
    </row>
    <row r="10" spans="1:19" x14ac:dyDescent="0.2">
      <c r="A10" s="3" t="s">
        <v>40</v>
      </c>
      <c r="B10" s="4">
        <v>86642.399999999936</v>
      </c>
      <c r="C10" s="4">
        <v>39717.000000000007</v>
      </c>
      <c r="D10" s="4">
        <v>154890</v>
      </c>
      <c r="E10" s="4">
        <v>281249.39999999991</v>
      </c>
      <c r="L10" s="3" t="s">
        <v>47</v>
      </c>
      <c r="M10" s="4">
        <v>1416669.5999999992</v>
      </c>
      <c r="N10" s="4">
        <v>464048.99999999994</v>
      </c>
      <c r="O10" s="4">
        <v>1994500</v>
      </c>
      <c r="P10" s="4">
        <v>3875218.5999999992</v>
      </c>
    </row>
    <row r="11" spans="1:19" x14ac:dyDescent="0.2">
      <c r="A11" s="3" t="s">
        <v>41</v>
      </c>
      <c r="B11" s="4">
        <v>116726.39999999992</v>
      </c>
      <c r="C11" s="4">
        <v>31011.300000000003</v>
      </c>
      <c r="D11" s="4">
        <v>120870</v>
      </c>
      <c r="E11" s="4">
        <v>268607.69999999995</v>
      </c>
      <c r="S11" s="5">
        <f>GETPIVOTDATA("Revenue",$R$3)</f>
        <v>1442655.15</v>
      </c>
    </row>
    <row r="12" spans="1:19" x14ac:dyDescent="0.2">
      <c r="A12" s="3" t="s">
        <v>42</v>
      </c>
      <c r="B12" s="4">
        <v>150602.39999999988</v>
      </c>
      <c r="C12" s="4">
        <v>44638.200000000004</v>
      </c>
      <c r="D12" s="4">
        <v>190295</v>
      </c>
      <c r="E12" s="4">
        <v>385535.59999999986</v>
      </c>
      <c r="P12" s="5">
        <f>GETPIVOTDATA("Revenue",$L$3)</f>
        <v>3875218.5999999992</v>
      </c>
    </row>
    <row r="13" spans="1:19" x14ac:dyDescent="0.2">
      <c r="A13" s="3" t="s">
        <v>43</v>
      </c>
      <c r="B13" s="4">
        <v>117175.1999999999</v>
      </c>
      <c r="C13" s="4">
        <v>46125</v>
      </c>
      <c r="D13" s="4">
        <v>167316.25</v>
      </c>
      <c r="E13" s="4">
        <v>330616.4499999999</v>
      </c>
    </row>
    <row r="14" spans="1:19" x14ac:dyDescent="0.2">
      <c r="A14" s="3" t="s">
        <v>44</v>
      </c>
      <c r="B14" s="4">
        <v>98798.399999999921</v>
      </c>
      <c r="C14" s="4">
        <v>41328</v>
      </c>
      <c r="D14" s="4">
        <v>156605</v>
      </c>
      <c r="E14" s="4">
        <v>296731.39999999991</v>
      </c>
    </row>
    <row r="15" spans="1:19" x14ac:dyDescent="0.2">
      <c r="A15" s="3" t="s">
        <v>45</v>
      </c>
      <c r="B15" s="4">
        <v>117315.59999999996</v>
      </c>
      <c r="C15" s="4">
        <v>39548.700000000004</v>
      </c>
      <c r="D15" s="4">
        <v>138326.25</v>
      </c>
      <c r="E15" s="4">
        <v>295190.54999999993</v>
      </c>
    </row>
    <row r="16" spans="1:19" x14ac:dyDescent="0.2">
      <c r="A16" s="3" t="s">
        <v>46</v>
      </c>
      <c r="B16" s="4">
        <v>124123.19999999995</v>
      </c>
      <c r="C16" s="4">
        <v>42027.30000000001</v>
      </c>
      <c r="D16" s="4">
        <v>171236.25</v>
      </c>
      <c r="E16" s="4">
        <v>337386.75</v>
      </c>
    </row>
    <row r="17" spans="1:5" x14ac:dyDescent="0.2">
      <c r="A17" s="3" t="s">
        <v>47</v>
      </c>
      <c r="B17" s="4">
        <v>1416669.5999999992</v>
      </c>
      <c r="C17" s="4">
        <v>464049</v>
      </c>
      <c r="D17" s="4">
        <v>1994500</v>
      </c>
      <c r="E17" s="4">
        <v>3875218.5999999987</v>
      </c>
    </row>
    <row r="19" spans="1:5" x14ac:dyDescent="0.2">
      <c r="E19" s="5">
        <f>GETPIVOTDATA("Revenue",$A$3)</f>
        <v>3875218.5999999987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886F-32D7-CD40-95DA-3E0BF681C5EE}">
  <dimension ref="A3:D6"/>
  <sheetViews>
    <sheetView workbookViewId="0">
      <selection activeCell="C13" sqref="C13"/>
    </sheetView>
  </sheetViews>
  <sheetFormatPr baseColWidth="10" defaultRowHeight="16" x14ac:dyDescent="0.2"/>
  <cols>
    <col min="1" max="1" width="14.1640625" bestFit="1" customWidth="1"/>
    <col min="2" max="2" width="11.83203125" bestFit="1" customWidth="1"/>
    <col min="3" max="3" width="16.5" bestFit="1" customWidth="1"/>
    <col min="4" max="4" width="18" bestFit="1" customWidth="1"/>
  </cols>
  <sheetData>
    <row r="3" spans="1:4" x14ac:dyDescent="0.2">
      <c r="A3" t="s">
        <v>48</v>
      </c>
      <c r="B3" t="s">
        <v>50</v>
      </c>
      <c r="C3" t="s">
        <v>51</v>
      </c>
      <c r="D3" t="s">
        <v>52</v>
      </c>
    </row>
    <row r="4" spans="1:4" x14ac:dyDescent="0.2">
      <c r="A4" s="4">
        <v>3875218.5999999987</v>
      </c>
      <c r="B4">
        <v>658353.59999999776</v>
      </c>
      <c r="C4">
        <v>3291768</v>
      </c>
      <c r="D4" s="10">
        <v>0.16988811934377018</v>
      </c>
    </row>
    <row r="6" spans="1:4" x14ac:dyDescent="0.2">
      <c r="A6" s="13">
        <f>GETPIVOTDATA("Sum of Revenue",$A$3)</f>
        <v>3875218.5999999987</v>
      </c>
      <c r="B6" s="13">
        <f>GETPIVOTDATA("Sum of Profit",$A$3)</f>
        <v>658353.59999999776</v>
      </c>
      <c r="C6" s="7">
        <f>GETPIVOTDATA("Sum of Liters_Sold",$A$3)</f>
        <v>3291768</v>
      </c>
      <c r="D6" s="14">
        <f>GETPIVOTDATA("Sum of Profit Margin",$A$3)</f>
        <v>0.16988811934377018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154A-1D7C-554C-A463-5DD8AE9ECCD8}">
  <dimension ref="A1:K1003"/>
  <sheetViews>
    <sheetView workbookViewId="0">
      <selection activeCell="C13" sqref="C13"/>
    </sheetView>
  </sheetViews>
  <sheetFormatPr baseColWidth="10" defaultRowHeight="16" x14ac:dyDescent="0.2"/>
  <cols>
    <col min="1" max="2" width="11" bestFit="1" customWidth="1"/>
    <col min="3" max="3" width="12.5" bestFit="1" customWidth="1"/>
    <col min="4" max="4" width="11.6640625" bestFit="1" customWidth="1"/>
    <col min="5" max="5" width="12.83203125" bestFit="1" customWidth="1"/>
    <col min="6" max="6" width="16.1640625" bestFit="1" customWidth="1"/>
    <col min="7" max="7" width="15.83203125" bestFit="1" customWidth="1"/>
    <col min="8" max="11" width="11" bestFit="1" customWidth="1"/>
  </cols>
  <sheetData>
    <row r="1" spans="1:11" x14ac:dyDescent="0.2">
      <c r="A1" s="11" t="s">
        <v>53</v>
      </c>
    </row>
    <row r="3" spans="1:11" x14ac:dyDescent="0.2">
      <c r="A3" t="s">
        <v>0</v>
      </c>
      <c r="B3" t="s">
        <v>1</v>
      </c>
      <c r="C3" t="s">
        <v>2</v>
      </c>
      <c r="D3" t="s">
        <v>3</v>
      </c>
      <c r="E3" t="s">
        <v>4</v>
      </c>
      <c r="F3" t="s">
        <v>5</v>
      </c>
      <c r="G3" t="s">
        <v>6</v>
      </c>
      <c r="H3" t="s">
        <v>7</v>
      </c>
      <c r="I3" t="s">
        <v>8</v>
      </c>
      <c r="J3" t="s">
        <v>9</v>
      </c>
      <c r="K3" t="s">
        <v>33</v>
      </c>
    </row>
    <row r="4" spans="1:11" x14ac:dyDescent="0.2">
      <c r="A4" s="1">
        <v>45394</v>
      </c>
      <c r="B4" t="s">
        <v>10</v>
      </c>
      <c r="C4" t="s">
        <v>11</v>
      </c>
      <c r="D4" t="s">
        <v>12</v>
      </c>
      <c r="E4">
        <v>3116</v>
      </c>
      <c r="F4">
        <v>1.25</v>
      </c>
      <c r="G4">
        <v>1.05</v>
      </c>
      <c r="H4">
        <v>3895</v>
      </c>
      <c r="I4">
        <v>3271.8</v>
      </c>
      <c r="J4">
        <v>623.19999999999902</v>
      </c>
      <c r="K4" t="s">
        <v>38</v>
      </c>
    </row>
    <row r="5" spans="1:11" x14ac:dyDescent="0.2">
      <c r="A5" s="1">
        <v>45640</v>
      </c>
      <c r="B5" t="s">
        <v>13</v>
      </c>
      <c r="C5" t="s">
        <v>11</v>
      </c>
      <c r="D5" t="s">
        <v>14</v>
      </c>
      <c r="E5">
        <v>1387</v>
      </c>
      <c r="F5">
        <v>0.9</v>
      </c>
      <c r="G5">
        <v>0.7</v>
      </c>
      <c r="H5">
        <v>1248.3</v>
      </c>
      <c r="I5">
        <v>970.9</v>
      </c>
      <c r="J5">
        <v>277.39999999999998</v>
      </c>
      <c r="K5" t="s">
        <v>46</v>
      </c>
    </row>
    <row r="6" spans="1:11" x14ac:dyDescent="0.2">
      <c r="A6" s="1">
        <v>45562</v>
      </c>
      <c r="B6" t="s">
        <v>15</v>
      </c>
      <c r="C6" t="s">
        <v>11</v>
      </c>
      <c r="D6" t="s">
        <v>12</v>
      </c>
      <c r="E6">
        <v>3604</v>
      </c>
      <c r="F6">
        <v>1.25</v>
      </c>
      <c r="G6">
        <v>1.05</v>
      </c>
      <c r="H6">
        <v>4505</v>
      </c>
      <c r="I6">
        <v>3784.2</v>
      </c>
      <c r="J6">
        <v>720.79999999999905</v>
      </c>
      <c r="K6" t="s">
        <v>43</v>
      </c>
    </row>
    <row r="7" spans="1:11" x14ac:dyDescent="0.2">
      <c r="A7" s="1">
        <v>45398</v>
      </c>
      <c r="B7" t="s">
        <v>16</v>
      </c>
      <c r="C7" t="s">
        <v>17</v>
      </c>
      <c r="D7" t="s">
        <v>18</v>
      </c>
      <c r="E7">
        <v>5937</v>
      </c>
      <c r="F7">
        <v>1.2</v>
      </c>
      <c r="G7">
        <v>1</v>
      </c>
      <c r="H7">
        <v>7124.4</v>
      </c>
      <c r="I7">
        <v>5937</v>
      </c>
      <c r="J7">
        <v>1187.3999999999901</v>
      </c>
      <c r="K7" t="s">
        <v>38</v>
      </c>
    </row>
    <row r="8" spans="1:11" x14ac:dyDescent="0.2">
      <c r="A8" s="1">
        <v>45363</v>
      </c>
      <c r="B8" t="s">
        <v>19</v>
      </c>
      <c r="C8" t="s">
        <v>20</v>
      </c>
      <c r="D8" t="s">
        <v>14</v>
      </c>
      <c r="E8">
        <v>549</v>
      </c>
      <c r="F8">
        <v>0.9</v>
      </c>
      <c r="G8">
        <v>0.7</v>
      </c>
      <c r="H8">
        <v>494.1</v>
      </c>
      <c r="I8">
        <v>384.29999999999899</v>
      </c>
      <c r="J8">
        <v>109.8</v>
      </c>
      <c r="K8" t="s">
        <v>37</v>
      </c>
    </row>
    <row r="9" spans="1:11" x14ac:dyDescent="0.2">
      <c r="A9" s="1">
        <v>45480</v>
      </c>
      <c r="B9" t="s">
        <v>21</v>
      </c>
      <c r="C9" t="s">
        <v>17</v>
      </c>
      <c r="D9" t="s">
        <v>18</v>
      </c>
      <c r="E9">
        <v>4451</v>
      </c>
      <c r="F9">
        <v>1.2</v>
      </c>
      <c r="G9">
        <v>1</v>
      </c>
      <c r="H9">
        <v>5341.2</v>
      </c>
      <c r="I9">
        <v>4451</v>
      </c>
      <c r="J9">
        <v>890.19999999999902</v>
      </c>
      <c r="K9" t="s">
        <v>41</v>
      </c>
    </row>
    <row r="10" spans="1:11" x14ac:dyDescent="0.2">
      <c r="A10" s="1">
        <v>45312</v>
      </c>
      <c r="B10" t="s">
        <v>22</v>
      </c>
      <c r="C10" t="s">
        <v>23</v>
      </c>
      <c r="D10" t="s">
        <v>14</v>
      </c>
      <c r="E10">
        <v>4060</v>
      </c>
      <c r="F10">
        <v>0.9</v>
      </c>
      <c r="G10">
        <v>0.7</v>
      </c>
      <c r="H10">
        <v>3654</v>
      </c>
      <c r="I10">
        <v>2842</v>
      </c>
      <c r="J10">
        <v>812</v>
      </c>
      <c r="K10" t="s">
        <v>35</v>
      </c>
    </row>
    <row r="11" spans="1:11" x14ac:dyDescent="0.2">
      <c r="A11" s="1">
        <v>45394</v>
      </c>
      <c r="B11" t="s">
        <v>24</v>
      </c>
      <c r="C11" t="s">
        <v>11</v>
      </c>
      <c r="D11" t="s">
        <v>12</v>
      </c>
      <c r="E11">
        <v>518</v>
      </c>
      <c r="F11">
        <v>1.25</v>
      </c>
      <c r="G11">
        <v>1.05</v>
      </c>
      <c r="H11">
        <v>647.5</v>
      </c>
      <c r="I11">
        <v>543.9</v>
      </c>
      <c r="J11">
        <v>103.6</v>
      </c>
      <c r="K11" t="s">
        <v>38</v>
      </c>
    </row>
    <row r="12" spans="1:11" x14ac:dyDescent="0.2">
      <c r="A12" s="1">
        <v>45413</v>
      </c>
      <c r="B12" t="s">
        <v>25</v>
      </c>
      <c r="C12" t="s">
        <v>17</v>
      </c>
      <c r="D12" t="s">
        <v>12</v>
      </c>
      <c r="E12">
        <v>5321</v>
      </c>
      <c r="F12">
        <v>1.25</v>
      </c>
      <c r="G12">
        <v>1.05</v>
      </c>
      <c r="H12">
        <v>6651.25</v>
      </c>
      <c r="I12">
        <v>5587.05</v>
      </c>
      <c r="J12">
        <v>1064.19999999999</v>
      </c>
      <c r="K12" t="s">
        <v>39</v>
      </c>
    </row>
    <row r="13" spans="1:11" x14ac:dyDescent="0.2">
      <c r="A13" s="1">
        <v>45506</v>
      </c>
      <c r="B13" t="s">
        <v>26</v>
      </c>
      <c r="C13" t="s">
        <v>17</v>
      </c>
      <c r="D13" t="s">
        <v>12</v>
      </c>
      <c r="E13">
        <v>1973</v>
      </c>
      <c r="F13">
        <v>1.25</v>
      </c>
      <c r="G13">
        <v>1.05</v>
      </c>
      <c r="H13">
        <v>2466.25</v>
      </c>
      <c r="I13">
        <v>2071.65</v>
      </c>
      <c r="J13">
        <v>394.599999999999</v>
      </c>
      <c r="K13" t="s">
        <v>42</v>
      </c>
    </row>
    <row r="14" spans="1:11" x14ac:dyDescent="0.2">
      <c r="A14" s="1">
        <v>45622</v>
      </c>
      <c r="B14" t="s">
        <v>27</v>
      </c>
      <c r="C14" t="s">
        <v>23</v>
      </c>
      <c r="D14" t="s">
        <v>18</v>
      </c>
      <c r="E14">
        <v>4561</v>
      </c>
      <c r="F14">
        <v>1.2</v>
      </c>
      <c r="G14">
        <v>1</v>
      </c>
      <c r="H14">
        <v>5473.2</v>
      </c>
      <c r="I14">
        <v>4561</v>
      </c>
      <c r="J14">
        <v>912.19999999999902</v>
      </c>
      <c r="K14" t="s">
        <v>45</v>
      </c>
    </row>
    <row r="15" spans="1:11" x14ac:dyDescent="0.2">
      <c r="A15" s="1">
        <v>45379</v>
      </c>
      <c r="B15" t="s">
        <v>28</v>
      </c>
      <c r="C15" t="s">
        <v>29</v>
      </c>
      <c r="D15" t="s">
        <v>14</v>
      </c>
      <c r="E15">
        <v>3106</v>
      </c>
      <c r="F15">
        <v>0.9</v>
      </c>
      <c r="G15">
        <v>0.7</v>
      </c>
      <c r="H15">
        <v>2795.4</v>
      </c>
      <c r="I15">
        <v>2174.1999999999998</v>
      </c>
      <c r="J15">
        <v>621.20000000000005</v>
      </c>
      <c r="K15" t="s">
        <v>37</v>
      </c>
    </row>
    <row r="16" spans="1:11" x14ac:dyDescent="0.2">
      <c r="A16" s="1">
        <v>45391</v>
      </c>
      <c r="B16" t="s">
        <v>26</v>
      </c>
      <c r="C16" t="s">
        <v>20</v>
      </c>
      <c r="D16" t="s">
        <v>12</v>
      </c>
      <c r="E16">
        <v>951</v>
      </c>
      <c r="F16">
        <v>1.25</v>
      </c>
      <c r="G16">
        <v>1.05</v>
      </c>
      <c r="H16">
        <v>1188.75</v>
      </c>
      <c r="I16">
        <v>998.55</v>
      </c>
      <c r="J16">
        <v>190.19999999999899</v>
      </c>
      <c r="K16" t="s">
        <v>38</v>
      </c>
    </row>
    <row r="17" spans="1:11" x14ac:dyDescent="0.2">
      <c r="A17" s="1">
        <v>45651</v>
      </c>
      <c r="B17" t="s">
        <v>30</v>
      </c>
      <c r="C17" t="s">
        <v>29</v>
      </c>
      <c r="D17" t="s">
        <v>18</v>
      </c>
      <c r="E17">
        <v>5760</v>
      </c>
      <c r="F17">
        <v>1.2</v>
      </c>
      <c r="G17">
        <v>1</v>
      </c>
      <c r="H17">
        <v>6912</v>
      </c>
      <c r="I17">
        <v>5760</v>
      </c>
      <c r="J17">
        <v>1152</v>
      </c>
      <c r="K17" t="s">
        <v>46</v>
      </c>
    </row>
    <row r="18" spans="1:11" x14ac:dyDescent="0.2">
      <c r="A18" s="1">
        <v>45443</v>
      </c>
      <c r="B18" t="s">
        <v>24</v>
      </c>
      <c r="C18" t="s">
        <v>11</v>
      </c>
      <c r="D18" t="s">
        <v>12</v>
      </c>
      <c r="E18">
        <v>5703</v>
      </c>
      <c r="F18">
        <v>1.25</v>
      </c>
      <c r="G18">
        <v>1.05</v>
      </c>
      <c r="H18">
        <v>7128.75</v>
      </c>
      <c r="I18">
        <v>5988.15</v>
      </c>
      <c r="J18">
        <v>1140.5999999999899</v>
      </c>
      <c r="K18" t="s">
        <v>39</v>
      </c>
    </row>
    <row r="19" spans="1:11" x14ac:dyDescent="0.2">
      <c r="A19" s="1">
        <v>45422</v>
      </c>
      <c r="B19" t="s">
        <v>15</v>
      </c>
      <c r="C19" t="s">
        <v>17</v>
      </c>
      <c r="D19" t="s">
        <v>18</v>
      </c>
      <c r="E19">
        <v>4265</v>
      </c>
      <c r="F19">
        <v>1.2</v>
      </c>
      <c r="G19">
        <v>1</v>
      </c>
      <c r="H19">
        <v>5118</v>
      </c>
      <c r="I19">
        <v>4265</v>
      </c>
      <c r="J19">
        <v>853</v>
      </c>
      <c r="K19" t="s">
        <v>39</v>
      </c>
    </row>
    <row r="20" spans="1:11" x14ac:dyDescent="0.2">
      <c r="A20" s="1">
        <v>45441</v>
      </c>
      <c r="B20" t="s">
        <v>25</v>
      </c>
      <c r="C20" t="s">
        <v>23</v>
      </c>
      <c r="D20" t="s">
        <v>12</v>
      </c>
      <c r="E20">
        <v>2938</v>
      </c>
      <c r="F20">
        <v>1.25</v>
      </c>
      <c r="G20">
        <v>1.05</v>
      </c>
      <c r="H20">
        <v>3672.5</v>
      </c>
      <c r="I20">
        <v>3084.9</v>
      </c>
      <c r="J20">
        <v>587.599999999999</v>
      </c>
      <c r="K20" t="s">
        <v>39</v>
      </c>
    </row>
    <row r="21" spans="1:11" x14ac:dyDescent="0.2">
      <c r="A21" s="1">
        <v>45600</v>
      </c>
      <c r="B21" t="s">
        <v>24</v>
      </c>
      <c r="C21" t="s">
        <v>23</v>
      </c>
      <c r="D21" t="s">
        <v>14</v>
      </c>
      <c r="E21">
        <v>4810</v>
      </c>
      <c r="F21">
        <v>0.9</v>
      </c>
      <c r="G21">
        <v>0.7</v>
      </c>
      <c r="H21">
        <v>4329</v>
      </c>
      <c r="I21">
        <v>3367</v>
      </c>
      <c r="J21">
        <v>962</v>
      </c>
      <c r="K21" t="s">
        <v>45</v>
      </c>
    </row>
    <row r="22" spans="1:11" x14ac:dyDescent="0.2">
      <c r="A22" s="1">
        <v>45549</v>
      </c>
      <c r="B22" t="s">
        <v>13</v>
      </c>
      <c r="C22" t="s">
        <v>20</v>
      </c>
      <c r="D22" t="s">
        <v>18</v>
      </c>
      <c r="E22">
        <v>2049</v>
      </c>
      <c r="F22">
        <v>1.2</v>
      </c>
      <c r="G22">
        <v>1</v>
      </c>
      <c r="H22">
        <v>2458.7999999999902</v>
      </c>
      <c r="I22">
        <v>2049</v>
      </c>
      <c r="J22">
        <v>409.79999999999899</v>
      </c>
      <c r="K22" t="s">
        <v>43</v>
      </c>
    </row>
    <row r="23" spans="1:11" x14ac:dyDescent="0.2">
      <c r="A23" s="1">
        <v>45635</v>
      </c>
      <c r="B23" t="s">
        <v>21</v>
      </c>
      <c r="C23" t="s">
        <v>29</v>
      </c>
      <c r="D23" t="s">
        <v>12</v>
      </c>
      <c r="E23">
        <v>3974</v>
      </c>
      <c r="F23">
        <v>1.25</v>
      </c>
      <c r="G23">
        <v>1.05</v>
      </c>
      <c r="H23">
        <v>4967.5</v>
      </c>
      <c r="I23">
        <v>4172.7</v>
      </c>
      <c r="J23">
        <v>794.8</v>
      </c>
      <c r="K23" t="s">
        <v>46</v>
      </c>
    </row>
    <row r="24" spans="1:11" x14ac:dyDescent="0.2">
      <c r="A24" s="1">
        <v>45585</v>
      </c>
      <c r="B24" t="s">
        <v>10</v>
      </c>
      <c r="C24" t="s">
        <v>20</v>
      </c>
      <c r="D24" t="s">
        <v>12</v>
      </c>
      <c r="E24">
        <v>627</v>
      </c>
      <c r="F24">
        <v>1.25</v>
      </c>
      <c r="G24">
        <v>1.05</v>
      </c>
      <c r="H24">
        <v>783.75</v>
      </c>
      <c r="I24">
        <v>658.35</v>
      </c>
      <c r="J24">
        <v>125.399999999999</v>
      </c>
      <c r="K24" t="s">
        <v>44</v>
      </c>
    </row>
    <row r="25" spans="1:11" x14ac:dyDescent="0.2">
      <c r="A25" s="1">
        <v>45483</v>
      </c>
      <c r="B25" t="s">
        <v>27</v>
      </c>
      <c r="C25" t="s">
        <v>17</v>
      </c>
      <c r="D25" t="s">
        <v>12</v>
      </c>
      <c r="E25">
        <v>5355</v>
      </c>
      <c r="F25">
        <v>1.25</v>
      </c>
      <c r="G25">
        <v>1.05</v>
      </c>
      <c r="H25">
        <v>6693.75</v>
      </c>
      <c r="I25">
        <v>5622.75</v>
      </c>
      <c r="J25">
        <v>1071</v>
      </c>
      <c r="K25" t="s">
        <v>41</v>
      </c>
    </row>
    <row r="26" spans="1:11" x14ac:dyDescent="0.2">
      <c r="A26" s="1">
        <v>45568</v>
      </c>
      <c r="B26" t="s">
        <v>31</v>
      </c>
      <c r="C26" t="s">
        <v>20</v>
      </c>
      <c r="D26" t="s">
        <v>12</v>
      </c>
      <c r="E26">
        <v>3261</v>
      </c>
      <c r="F26">
        <v>1.25</v>
      </c>
      <c r="G26">
        <v>1.05</v>
      </c>
      <c r="H26">
        <v>4076.25</v>
      </c>
      <c r="I26">
        <v>3424.05</v>
      </c>
      <c r="J26">
        <v>652.19999999999902</v>
      </c>
      <c r="K26" t="s">
        <v>44</v>
      </c>
    </row>
    <row r="27" spans="1:11" x14ac:dyDescent="0.2">
      <c r="A27" s="1">
        <v>45452</v>
      </c>
      <c r="B27" t="s">
        <v>21</v>
      </c>
      <c r="C27" t="s">
        <v>23</v>
      </c>
      <c r="D27" t="s">
        <v>12</v>
      </c>
      <c r="E27">
        <v>4956</v>
      </c>
      <c r="F27">
        <v>1.25</v>
      </c>
      <c r="G27">
        <v>1.05</v>
      </c>
      <c r="H27">
        <v>6195</v>
      </c>
      <c r="I27">
        <v>5203.8</v>
      </c>
      <c r="J27">
        <v>991.19999999999902</v>
      </c>
      <c r="K27" t="s">
        <v>40</v>
      </c>
    </row>
    <row r="28" spans="1:11" x14ac:dyDescent="0.2">
      <c r="A28" s="1">
        <v>45605</v>
      </c>
      <c r="B28" t="s">
        <v>31</v>
      </c>
      <c r="C28" t="s">
        <v>23</v>
      </c>
      <c r="D28" t="s">
        <v>14</v>
      </c>
      <c r="E28">
        <v>5164</v>
      </c>
      <c r="F28">
        <v>0.9</v>
      </c>
      <c r="G28">
        <v>0.7</v>
      </c>
      <c r="H28">
        <v>4647.6000000000004</v>
      </c>
      <c r="I28">
        <v>3614.7999999999902</v>
      </c>
      <c r="J28">
        <v>1032.8</v>
      </c>
      <c r="K28" t="s">
        <v>45</v>
      </c>
    </row>
    <row r="29" spans="1:11" x14ac:dyDescent="0.2">
      <c r="A29" s="1">
        <v>45313</v>
      </c>
      <c r="B29" t="s">
        <v>16</v>
      </c>
      <c r="C29" t="s">
        <v>11</v>
      </c>
      <c r="D29" t="s">
        <v>18</v>
      </c>
      <c r="E29">
        <v>1915</v>
      </c>
      <c r="F29">
        <v>1.2</v>
      </c>
      <c r="G29">
        <v>1</v>
      </c>
      <c r="H29">
        <v>2298</v>
      </c>
      <c r="I29">
        <v>1915</v>
      </c>
      <c r="J29">
        <v>383</v>
      </c>
      <c r="K29" t="s">
        <v>35</v>
      </c>
    </row>
    <row r="30" spans="1:11" x14ac:dyDescent="0.2">
      <c r="A30" s="1">
        <v>45544</v>
      </c>
      <c r="B30" t="s">
        <v>10</v>
      </c>
      <c r="C30" t="s">
        <v>11</v>
      </c>
      <c r="D30" t="s">
        <v>18</v>
      </c>
      <c r="E30">
        <v>701</v>
      </c>
      <c r="F30">
        <v>1.2</v>
      </c>
      <c r="G30">
        <v>1</v>
      </c>
      <c r="H30">
        <v>841.19999999999902</v>
      </c>
      <c r="I30">
        <v>701</v>
      </c>
      <c r="J30">
        <v>140.19999999999899</v>
      </c>
      <c r="K30" t="s">
        <v>43</v>
      </c>
    </row>
    <row r="31" spans="1:11" x14ac:dyDescent="0.2">
      <c r="A31" s="1">
        <v>45527</v>
      </c>
      <c r="B31" t="s">
        <v>25</v>
      </c>
      <c r="C31" t="s">
        <v>17</v>
      </c>
      <c r="D31" t="s">
        <v>12</v>
      </c>
      <c r="E31">
        <v>2869</v>
      </c>
      <c r="F31">
        <v>1.25</v>
      </c>
      <c r="G31">
        <v>1.05</v>
      </c>
      <c r="H31">
        <v>3586.25</v>
      </c>
      <c r="I31">
        <v>3012.45</v>
      </c>
      <c r="J31">
        <v>573.79999999999905</v>
      </c>
      <c r="K31" t="s">
        <v>42</v>
      </c>
    </row>
    <row r="32" spans="1:11" x14ac:dyDescent="0.2">
      <c r="A32" s="1">
        <v>45636</v>
      </c>
      <c r="B32" t="s">
        <v>22</v>
      </c>
      <c r="C32" t="s">
        <v>29</v>
      </c>
      <c r="D32" t="s">
        <v>14</v>
      </c>
      <c r="E32">
        <v>1017</v>
      </c>
      <c r="F32">
        <v>0.9</v>
      </c>
      <c r="G32">
        <v>0.7</v>
      </c>
      <c r="H32">
        <v>915.3</v>
      </c>
      <c r="I32">
        <v>711.9</v>
      </c>
      <c r="J32">
        <v>203.4</v>
      </c>
      <c r="K32" t="s">
        <v>46</v>
      </c>
    </row>
    <row r="33" spans="1:11" x14ac:dyDescent="0.2">
      <c r="A33" s="1">
        <v>45340</v>
      </c>
      <c r="B33" t="s">
        <v>28</v>
      </c>
      <c r="C33" t="s">
        <v>20</v>
      </c>
      <c r="D33" t="s">
        <v>18</v>
      </c>
      <c r="E33">
        <v>5944</v>
      </c>
      <c r="F33">
        <v>1.2</v>
      </c>
      <c r="G33">
        <v>1</v>
      </c>
      <c r="H33">
        <v>7132.8</v>
      </c>
      <c r="I33">
        <v>5944</v>
      </c>
      <c r="J33">
        <v>1188.8</v>
      </c>
      <c r="K33" t="s">
        <v>36</v>
      </c>
    </row>
    <row r="34" spans="1:11" x14ac:dyDescent="0.2">
      <c r="A34" s="1">
        <v>45350</v>
      </c>
      <c r="B34" t="s">
        <v>19</v>
      </c>
      <c r="C34" t="s">
        <v>17</v>
      </c>
      <c r="D34" t="s">
        <v>12</v>
      </c>
      <c r="E34">
        <v>1841</v>
      </c>
      <c r="F34">
        <v>1.25</v>
      </c>
      <c r="G34">
        <v>1.05</v>
      </c>
      <c r="H34">
        <v>2301.25</v>
      </c>
      <c r="I34">
        <v>1933.05</v>
      </c>
      <c r="J34">
        <v>368.19999999999902</v>
      </c>
      <c r="K34" t="s">
        <v>36</v>
      </c>
    </row>
    <row r="35" spans="1:11" x14ac:dyDescent="0.2">
      <c r="A35" s="1">
        <v>45461</v>
      </c>
      <c r="B35" t="s">
        <v>32</v>
      </c>
      <c r="C35" t="s">
        <v>11</v>
      </c>
      <c r="D35" t="s">
        <v>18</v>
      </c>
      <c r="E35">
        <v>5276</v>
      </c>
      <c r="F35">
        <v>1.2</v>
      </c>
      <c r="G35">
        <v>1</v>
      </c>
      <c r="H35">
        <v>6331.2</v>
      </c>
      <c r="I35">
        <v>5276</v>
      </c>
      <c r="J35">
        <v>1055.19999999999</v>
      </c>
      <c r="K35" t="s">
        <v>40</v>
      </c>
    </row>
    <row r="36" spans="1:11" x14ac:dyDescent="0.2">
      <c r="A36" s="1">
        <v>45479</v>
      </c>
      <c r="B36" t="s">
        <v>10</v>
      </c>
      <c r="C36" t="s">
        <v>20</v>
      </c>
      <c r="D36" t="s">
        <v>18</v>
      </c>
      <c r="E36">
        <v>2488</v>
      </c>
      <c r="F36">
        <v>1.2</v>
      </c>
      <c r="G36">
        <v>1</v>
      </c>
      <c r="H36">
        <v>2985.6</v>
      </c>
      <c r="I36">
        <v>2488</v>
      </c>
      <c r="J36">
        <v>497.599999999999</v>
      </c>
      <c r="K36" t="s">
        <v>41</v>
      </c>
    </row>
    <row r="37" spans="1:11" x14ac:dyDescent="0.2">
      <c r="A37" s="1">
        <v>45562</v>
      </c>
      <c r="B37" t="s">
        <v>21</v>
      </c>
      <c r="C37" t="s">
        <v>11</v>
      </c>
      <c r="D37" t="s">
        <v>12</v>
      </c>
      <c r="E37">
        <v>4045</v>
      </c>
      <c r="F37">
        <v>1.25</v>
      </c>
      <c r="G37">
        <v>1.05</v>
      </c>
      <c r="H37">
        <v>5056.25</v>
      </c>
      <c r="I37">
        <v>4247.25</v>
      </c>
      <c r="J37">
        <v>809</v>
      </c>
      <c r="K37" t="s">
        <v>43</v>
      </c>
    </row>
    <row r="38" spans="1:11" x14ac:dyDescent="0.2">
      <c r="A38" s="1">
        <v>45481</v>
      </c>
      <c r="B38" t="s">
        <v>27</v>
      </c>
      <c r="C38" t="s">
        <v>20</v>
      </c>
      <c r="D38" t="s">
        <v>12</v>
      </c>
      <c r="E38">
        <v>5020</v>
      </c>
      <c r="F38">
        <v>1.25</v>
      </c>
      <c r="G38">
        <v>1.05</v>
      </c>
      <c r="H38">
        <v>6275</v>
      </c>
      <c r="I38">
        <v>5271</v>
      </c>
      <c r="J38">
        <v>1004</v>
      </c>
      <c r="K38" t="s">
        <v>41</v>
      </c>
    </row>
    <row r="39" spans="1:11" x14ac:dyDescent="0.2">
      <c r="A39" s="1">
        <v>45466</v>
      </c>
      <c r="B39" t="s">
        <v>32</v>
      </c>
      <c r="C39" t="s">
        <v>29</v>
      </c>
      <c r="D39" t="s">
        <v>12</v>
      </c>
      <c r="E39">
        <v>4302</v>
      </c>
      <c r="F39">
        <v>1.25</v>
      </c>
      <c r="G39">
        <v>1.05</v>
      </c>
      <c r="H39">
        <v>5377.5</v>
      </c>
      <c r="I39">
        <v>4517.1000000000004</v>
      </c>
      <c r="J39">
        <v>860.39999999999895</v>
      </c>
      <c r="K39" t="s">
        <v>40</v>
      </c>
    </row>
    <row r="40" spans="1:11" x14ac:dyDescent="0.2">
      <c r="A40" s="1">
        <v>45342</v>
      </c>
      <c r="B40" t="s">
        <v>30</v>
      </c>
      <c r="C40" t="s">
        <v>17</v>
      </c>
      <c r="D40" t="s">
        <v>12</v>
      </c>
      <c r="E40">
        <v>3775</v>
      </c>
      <c r="F40">
        <v>1.25</v>
      </c>
      <c r="G40">
        <v>1.05</v>
      </c>
      <c r="H40">
        <v>4718.75</v>
      </c>
      <c r="I40">
        <v>3963.75</v>
      </c>
      <c r="J40">
        <v>755</v>
      </c>
      <c r="K40" t="s">
        <v>36</v>
      </c>
    </row>
    <row r="41" spans="1:11" x14ac:dyDescent="0.2">
      <c r="A41" s="1">
        <v>45655</v>
      </c>
      <c r="B41" t="s">
        <v>30</v>
      </c>
      <c r="C41" t="s">
        <v>20</v>
      </c>
      <c r="D41" t="s">
        <v>14</v>
      </c>
      <c r="E41">
        <v>4154</v>
      </c>
      <c r="F41">
        <v>0.9</v>
      </c>
      <c r="G41">
        <v>0.7</v>
      </c>
      <c r="H41">
        <v>3738.6</v>
      </c>
      <c r="I41">
        <v>2907.7999999999902</v>
      </c>
      <c r="J41">
        <v>830.8</v>
      </c>
      <c r="K41" t="s">
        <v>46</v>
      </c>
    </row>
    <row r="42" spans="1:11" x14ac:dyDescent="0.2">
      <c r="A42" s="1">
        <v>45346</v>
      </c>
      <c r="B42" t="s">
        <v>24</v>
      </c>
      <c r="C42" t="s">
        <v>23</v>
      </c>
      <c r="D42" t="s">
        <v>18</v>
      </c>
      <c r="E42">
        <v>2934</v>
      </c>
      <c r="F42">
        <v>1.2</v>
      </c>
      <c r="G42">
        <v>1</v>
      </c>
      <c r="H42">
        <v>3520.7999999999902</v>
      </c>
      <c r="I42">
        <v>2934</v>
      </c>
      <c r="J42">
        <v>586.79999999999905</v>
      </c>
      <c r="K42" t="s">
        <v>36</v>
      </c>
    </row>
    <row r="43" spans="1:11" x14ac:dyDescent="0.2">
      <c r="A43" s="1">
        <v>45535</v>
      </c>
      <c r="B43" t="s">
        <v>32</v>
      </c>
      <c r="C43" t="s">
        <v>23</v>
      </c>
      <c r="D43" t="s">
        <v>18</v>
      </c>
      <c r="E43">
        <v>5373</v>
      </c>
      <c r="F43">
        <v>1.2</v>
      </c>
      <c r="G43">
        <v>1</v>
      </c>
      <c r="H43">
        <v>6447.5999999999904</v>
      </c>
      <c r="I43">
        <v>5373</v>
      </c>
      <c r="J43">
        <v>1074.5999999999899</v>
      </c>
      <c r="K43" t="s">
        <v>42</v>
      </c>
    </row>
    <row r="44" spans="1:11" x14ac:dyDescent="0.2">
      <c r="A44" s="1">
        <v>45611</v>
      </c>
      <c r="B44" t="s">
        <v>27</v>
      </c>
      <c r="C44" t="s">
        <v>20</v>
      </c>
      <c r="D44" t="s">
        <v>12</v>
      </c>
      <c r="E44">
        <v>707</v>
      </c>
      <c r="F44">
        <v>1.25</v>
      </c>
      <c r="G44">
        <v>1.05</v>
      </c>
      <c r="H44">
        <v>883.75</v>
      </c>
      <c r="I44">
        <v>742.35</v>
      </c>
      <c r="J44">
        <v>141.39999999999901</v>
      </c>
      <c r="K44" t="s">
        <v>45</v>
      </c>
    </row>
    <row r="45" spans="1:11" x14ac:dyDescent="0.2">
      <c r="A45" s="1">
        <v>45422</v>
      </c>
      <c r="B45" t="s">
        <v>25</v>
      </c>
      <c r="C45" t="s">
        <v>20</v>
      </c>
      <c r="D45" t="s">
        <v>12</v>
      </c>
      <c r="E45">
        <v>3133</v>
      </c>
      <c r="F45">
        <v>1.25</v>
      </c>
      <c r="G45">
        <v>1.05</v>
      </c>
      <c r="H45">
        <v>3916.25</v>
      </c>
      <c r="I45">
        <v>3289.65</v>
      </c>
      <c r="J45">
        <v>626.599999999999</v>
      </c>
      <c r="K45" t="s">
        <v>39</v>
      </c>
    </row>
    <row r="46" spans="1:11" x14ac:dyDescent="0.2">
      <c r="A46" s="1">
        <v>45598</v>
      </c>
      <c r="B46" t="s">
        <v>16</v>
      </c>
      <c r="C46" t="s">
        <v>20</v>
      </c>
      <c r="D46" t="s">
        <v>18</v>
      </c>
      <c r="E46">
        <v>4617</v>
      </c>
      <c r="F46">
        <v>1.2</v>
      </c>
      <c r="G46">
        <v>1</v>
      </c>
      <c r="H46">
        <v>5540.4</v>
      </c>
      <c r="I46">
        <v>4617</v>
      </c>
      <c r="J46">
        <v>923.39999999999895</v>
      </c>
      <c r="K46" t="s">
        <v>45</v>
      </c>
    </row>
    <row r="47" spans="1:11" x14ac:dyDescent="0.2">
      <c r="A47" s="1">
        <v>45426</v>
      </c>
      <c r="B47" t="s">
        <v>31</v>
      </c>
      <c r="C47" t="s">
        <v>23</v>
      </c>
      <c r="D47" t="s">
        <v>18</v>
      </c>
      <c r="E47">
        <v>653</v>
      </c>
      <c r="F47">
        <v>1.2</v>
      </c>
      <c r="G47">
        <v>1</v>
      </c>
      <c r="H47">
        <v>783.6</v>
      </c>
      <c r="I47">
        <v>653</v>
      </c>
      <c r="J47">
        <v>130.6</v>
      </c>
      <c r="K47" t="s">
        <v>39</v>
      </c>
    </row>
    <row r="48" spans="1:11" x14ac:dyDescent="0.2">
      <c r="A48" s="1">
        <v>45312</v>
      </c>
      <c r="B48" t="s">
        <v>24</v>
      </c>
      <c r="C48" t="s">
        <v>23</v>
      </c>
      <c r="D48" t="s">
        <v>12</v>
      </c>
      <c r="E48">
        <v>3866</v>
      </c>
      <c r="F48">
        <v>1.25</v>
      </c>
      <c r="G48">
        <v>1.05</v>
      </c>
      <c r="H48">
        <v>4832.5</v>
      </c>
      <c r="I48">
        <v>4059.3</v>
      </c>
      <c r="J48">
        <v>773.19999999999902</v>
      </c>
      <c r="K48" t="s">
        <v>35</v>
      </c>
    </row>
    <row r="49" spans="1:11" x14ac:dyDescent="0.2">
      <c r="A49" s="1">
        <v>45620</v>
      </c>
      <c r="B49" t="s">
        <v>30</v>
      </c>
      <c r="C49" t="s">
        <v>20</v>
      </c>
      <c r="D49" t="s">
        <v>18</v>
      </c>
      <c r="E49">
        <v>4814</v>
      </c>
      <c r="F49">
        <v>1.2</v>
      </c>
      <c r="G49">
        <v>1</v>
      </c>
      <c r="H49">
        <v>5776.8</v>
      </c>
      <c r="I49">
        <v>4814</v>
      </c>
      <c r="J49">
        <v>962.8</v>
      </c>
      <c r="K49" t="s">
        <v>45</v>
      </c>
    </row>
    <row r="50" spans="1:11" x14ac:dyDescent="0.2">
      <c r="A50" s="1">
        <v>45458</v>
      </c>
      <c r="B50" t="s">
        <v>19</v>
      </c>
      <c r="C50" t="s">
        <v>11</v>
      </c>
      <c r="D50" t="s">
        <v>18</v>
      </c>
      <c r="E50">
        <v>5264</v>
      </c>
      <c r="F50">
        <v>1.2</v>
      </c>
      <c r="G50">
        <v>1</v>
      </c>
      <c r="H50">
        <v>6316.8</v>
      </c>
      <c r="I50">
        <v>5264</v>
      </c>
      <c r="J50">
        <v>1052.8</v>
      </c>
      <c r="K50" t="s">
        <v>40</v>
      </c>
    </row>
    <row r="51" spans="1:11" x14ac:dyDescent="0.2">
      <c r="A51" s="1">
        <v>45565</v>
      </c>
      <c r="B51" t="s">
        <v>19</v>
      </c>
      <c r="C51" t="s">
        <v>11</v>
      </c>
      <c r="D51" t="s">
        <v>12</v>
      </c>
      <c r="E51">
        <v>2018</v>
      </c>
      <c r="F51">
        <v>1.25</v>
      </c>
      <c r="G51">
        <v>1.05</v>
      </c>
      <c r="H51">
        <v>2522.5</v>
      </c>
      <c r="I51">
        <v>2118.9</v>
      </c>
      <c r="J51">
        <v>403.599999999999</v>
      </c>
      <c r="K51" t="s">
        <v>43</v>
      </c>
    </row>
    <row r="52" spans="1:11" x14ac:dyDescent="0.2">
      <c r="A52" s="1">
        <v>45380</v>
      </c>
      <c r="B52" t="s">
        <v>21</v>
      </c>
      <c r="C52" t="s">
        <v>29</v>
      </c>
      <c r="D52" t="s">
        <v>12</v>
      </c>
      <c r="E52">
        <v>3100</v>
      </c>
      <c r="F52">
        <v>1.25</v>
      </c>
      <c r="G52">
        <v>1.05</v>
      </c>
      <c r="H52">
        <v>3875</v>
      </c>
      <c r="I52">
        <v>3255</v>
      </c>
      <c r="J52">
        <v>620</v>
      </c>
      <c r="K52" t="s">
        <v>37</v>
      </c>
    </row>
    <row r="53" spans="1:11" x14ac:dyDescent="0.2">
      <c r="A53" s="1">
        <v>45607</v>
      </c>
      <c r="B53" t="s">
        <v>25</v>
      </c>
      <c r="C53" t="s">
        <v>17</v>
      </c>
      <c r="D53" t="s">
        <v>18</v>
      </c>
      <c r="E53">
        <v>5545</v>
      </c>
      <c r="F53">
        <v>1.2</v>
      </c>
      <c r="G53">
        <v>1</v>
      </c>
      <c r="H53">
        <v>6654</v>
      </c>
      <c r="I53">
        <v>5545</v>
      </c>
      <c r="J53">
        <v>1109</v>
      </c>
      <c r="K53" t="s">
        <v>45</v>
      </c>
    </row>
    <row r="54" spans="1:11" x14ac:dyDescent="0.2">
      <c r="A54" s="1">
        <v>45305</v>
      </c>
      <c r="B54" t="s">
        <v>22</v>
      </c>
      <c r="C54" t="s">
        <v>11</v>
      </c>
      <c r="D54" t="s">
        <v>12</v>
      </c>
      <c r="E54">
        <v>2695</v>
      </c>
      <c r="F54">
        <v>1.25</v>
      </c>
      <c r="G54">
        <v>1.05</v>
      </c>
      <c r="H54">
        <v>3368.75</v>
      </c>
      <c r="I54">
        <v>2829.75</v>
      </c>
      <c r="J54">
        <v>539</v>
      </c>
      <c r="K54" t="s">
        <v>35</v>
      </c>
    </row>
    <row r="55" spans="1:11" x14ac:dyDescent="0.2">
      <c r="A55" s="1">
        <v>45533</v>
      </c>
      <c r="B55" t="s">
        <v>30</v>
      </c>
      <c r="C55" t="s">
        <v>23</v>
      </c>
      <c r="D55" t="s">
        <v>12</v>
      </c>
      <c r="E55">
        <v>4998</v>
      </c>
      <c r="F55">
        <v>1.25</v>
      </c>
      <c r="G55">
        <v>1.05</v>
      </c>
      <c r="H55">
        <v>6247.5</v>
      </c>
      <c r="I55">
        <v>5247.9</v>
      </c>
      <c r="J55">
        <v>999.599999999999</v>
      </c>
      <c r="K55" t="s">
        <v>42</v>
      </c>
    </row>
    <row r="56" spans="1:11" x14ac:dyDescent="0.2">
      <c r="A56" s="1">
        <v>45556</v>
      </c>
      <c r="B56" t="s">
        <v>15</v>
      </c>
      <c r="C56" t="s">
        <v>11</v>
      </c>
      <c r="D56" t="s">
        <v>12</v>
      </c>
      <c r="E56">
        <v>5191</v>
      </c>
      <c r="F56">
        <v>1.25</v>
      </c>
      <c r="G56">
        <v>1.05</v>
      </c>
      <c r="H56">
        <v>6488.75</v>
      </c>
      <c r="I56">
        <v>5450.55</v>
      </c>
      <c r="J56">
        <v>1038.19999999999</v>
      </c>
      <c r="K56" t="s">
        <v>43</v>
      </c>
    </row>
    <row r="57" spans="1:11" x14ac:dyDescent="0.2">
      <c r="A57" s="1">
        <v>45637</v>
      </c>
      <c r="B57" t="s">
        <v>25</v>
      </c>
      <c r="C57" t="s">
        <v>29</v>
      </c>
      <c r="D57" t="s">
        <v>12</v>
      </c>
      <c r="E57">
        <v>4054</v>
      </c>
      <c r="F57">
        <v>1.25</v>
      </c>
      <c r="G57">
        <v>1.05</v>
      </c>
      <c r="H57">
        <v>5067.5</v>
      </c>
      <c r="I57">
        <v>4256.7</v>
      </c>
      <c r="J57">
        <v>810.8</v>
      </c>
      <c r="K57" t="s">
        <v>46</v>
      </c>
    </row>
    <row r="58" spans="1:11" x14ac:dyDescent="0.2">
      <c r="A58" s="1">
        <v>45344</v>
      </c>
      <c r="B58" t="s">
        <v>16</v>
      </c>
      <c r="C58" t="s">
        <v>29</v>
      </c>
      <c r="D58" t="s">
        <v>18</v>
      </c>
      <c r="E58">
        <v>2914</v>
      </c>
      <c r="F58">
        <v>1.2</v>
      </c>
      <c r="G58">
        <v>1</v>
      </c>
      <c r="H58">
        <v>3496.7999999999902</v>
      </c>
      <c r="I58">
        <v>2914</v>
      </c>
      <c r="J58">
        <v>582.79999999999905</v>
      </c>
      <c r="K58" t="s">
        <v>36</v>
      </c>
    </row>
    <row r="59" spans="1:11" x14ac:dyDescent="0.2">
      <c r="A59" s="1">
        <v>45631</v>
      </c>
      <c r="B59" t="s">
        <v>31</v>
      </c>
      <c r="C59" t="s">
        <v>17</v>
      </c>
      <c r="D59" t="s">
        <v>18</v>
      </c>
      <c r="E59">
        <v>3349</v>
      </c>
      <c r="F59">
        <v>1.2</v>
      </c>
      <c r="G59">
        <v>1</v>
      </c>
      <c r="H59">
        <v>4018.7999999999902</v>
      </c>
      <c r="I59">
        <v>3349</v>
      </c>
      <c r="J59">
        <v>669.79999999999905</v>
      </c>
      <c r="K59" t="s">
        <v>46</v>
      </c>
    </row>
    <row r="60" spans="1:11" x14ac:dyDescent="0.2">
      <c r="A60" s="1">
        <v>45383</v>
      </c>
      <c r="B60" t="s">
        <v>27</v>
      </c>
      <c r="C60" t="s">
        <v>11</v>
      </c>
      <c r="D60" t="s">
        <v>12</v>
      </c>
      <c r="E60">
        <v>5753</v>
      </c>
      <c r="F60">
        <v>1.25</v>
      </c>
      <c r="G60">
        <v>1.05</v>
      </c>
      <c r="H60">
        <v>7191.25</v>
      </c>
      <c r="I60">
        <v>6040.65</v>
      </c>
      <c r="J60">
        <v>1150.5999999999899</v>
      </c>
      <c r="K60" t="s">
        <v>38</v>
      </c>
    </row>
    <row r="61" spans="1:11" x14ac:dyDescent="0.2">
      <c r="A61" s="1">
        <v>45555</v>
      </c>
      <c r="B61" t="s">
        <v>32</v>
      </c>
      <c r="C61" t="s">
        <v>23</v>
      </c>
      <c r="D61" t="s">
        <v>14</v>
      </c>
      <c r="E61">
        <v>2242</v>
      </c>
      <c r="F61">
        <v>0.9</v>
      </c>
      <c r="G61">
        <v>0.7</v>
      </c>
      <c r="H61">
        <v>2017.8</v>
      </c>
      <c r="I61">
        <v>1569.3999999999901</v>
      </c>
      <c r="J61">
        <v>448.4</v>
      </c>
      <c r="K61" t="s">
        <v>43</v>
      </c>
    </row>
    <row r="62" spans="1:11" x14ac:dyDescent="0.2">
      <c r="A62" s="1">
        <v>45326</v>
      </c>
      <c r="B62" t="s">
        <v>30</v>
      </c>
      <c r="C62" t="s">
        <v>23</v>
      </c>
      <c r="D62" t="s">
        <v>14</v>
      </c>
      <c r="E62">
        <v>1806</v>
      </c>
      <c r="F62">
        <v>0.9</v>
      </c>
      <c r="G62">
        <v>0.7</v>
      </c>
      <c r="H62">
        <v>1625.4</v>
      </c>
      <c r="I62">
        <v>1264.19999999999</v>
      </c>
      <c r="J62">
        <v>361.2</v>
      </c>
      <c r="K62" t="s">
        <v>36</v>
      </c>
    </row>
    <row r="63" spans="1:11" x14ac:dyDescent="0.2">
      <c r="A63" s="1">
        <v>45497</v>
      </c>
      <c r="B63" t="s">
        <v>32</v>
      </c>
      <c r="C63" t="s">
        <v>20</v>
      </c>
      <c r="D63" t="s">
        <v>14</v>
      </c>
      <c r="E63">
        <v>4349</v>
      </c>
      <c r="F63">
        <v>0.9</v>
      </c>
      <c r="G63">
        <v>0.7</v>
      </c>
      <c r="H63">
        <v>3914.1</v>
      </c>
      <c r="I63">
        <v>3044.2999999999902</v>
      </c>
      <c r="J63">
        <v>869.8</v>
      </c>
      <c r="K63" t="s">
        <v>41</v>
      </c>
    </row>
    <row r="64" spans="1:11" x14ac:dyDescent="0.2">
      <c r="A64" s="1">
        <v>45372</v>
      </c>
      <c r="B64" t="s">
        <v>19</v>
      </c>
      <c r="C64" t="s">
        <v>23</v>
      </c>
      <c r="D64" t="s">
        <v>12</v>
      </c>
      <c r="E64">
        <v>4668</v>
      </c>
      <c r="F64">
        <v>1.25</v>
      </c>
      <c r="G64">
        <v>1.05</v>
      </c>
      <c r="H64">
        <v>5835</v>
      </c>
      <c r="I64">
        <v>4901.3999999999996</v>
      </c>
      <c r="J64">
        <v>933.599999999999</v>
      </c>
      <c r="K64" t="s">
        <v>37</v>
      </c>
    </row>
    <row r="65" spans="1:11" x14ac:dyDescent="0.2">
      <c r="A65" s="1">
        <v>45341</v>
      </c>
      <c r="B65" t="s">
        <v>27</v>
      </c>
      <c r="C65" t="s">
        <v>17</v>
      </c>
      <c r="D65" t="s">
        <v>12</v>
      </c>
      <c r="E65">
        <v>5076</v>
      </c>
      <c r="F65">
        <v>1.25</v>
      </c>
      <c r="G65">
        <v>1.05</v>
      </c>
      <c r="H65">
        <v>6345</v>
      </c>
      <c r="I65">
        <v>5329.8</v>
      </c>
      <c r="J65">
        <v>1015.19999999999</v>
      </c>
      <c r="K65" t="s">
        <v>36</v>
      </c>
    </row>
    <row r="66" spans="1:11" x14ac:dyDescent="0.2">
      <c r="A66" s="1">
        <v>45651</v>
      </c>
      <c r="B66" t="s">
        <v>27</v>
      </c>
      <c r="C66" t="s">
        <v>17</v>
      </c>
      <c r="D66" t="s">
        <v>14</v>
      </c>
      <c r="E66">
        <v>5155</v>
      </c>
      <c r="F66">
        <v>0.9</v>
      </c>
      <c r="G66">
        <v>0.7</v>
      </c>
      <c r="H66">
        <v>4639.5</v>
      </c>
      <c r="I66">
        <v>3608.49999999999</v>
      </c>
      <c r="J66">
        <v>1031</v>
      </c>
      <c r="K66" t="s">
        <v>46</v>
      </c>
    </row>
    <row r="67" spans="1:11" x14ac:dyDescent="0.2">
      <c r="A67" s="1">
        <v>45293</v>
      </c>
      <c r="B67" t="s">
        <v>27</v>
      </c>
      <c r="C67" t="s">
        <v>23</v>
      </c>
      <c r="D67" t="s">
        <v>18</v>
      </c>
      <c r="E67">
        <v>5340</v>
      </c>
      <c r="F67">
        <v>1.2</v>
      </c>
      <c r="G67">
        <v>1</v>
      </c>
      <c r="H67">
        <v>6408</v>
      </c>
      <c r="I67">
        <v>5340</v>
      </c>
      <c r="J67">
        <v>1068</v>
      </c>
      <c r="K67" t="s">
        <v>35</v>
      </c>
    </row>
    <row r="68" spans="1:11" x14ac:dyDescent="0.2">
      <c r="A68" s="1">
        <v>45345</v>
      </c>
      <c r="B68" t="s">
        <v>19</v>
      </c>
      <c r="C68" t="s">
        <v>23</v>
      </c>
      <c r="D68" t="s">
        <v>12</v>
      </c>
      <c r="E68">
        <v>4695</v>
      </c>
      <c r="F68">
        <v>1.25</v>
      </c>
      <c r="G68">
        <v>1.05</v>
      </c>
      <c r="H68">
        <v>5868.75</v>
      </c>
      <c r="I68">
        <v>4929.75</v>
      </c>
      <c r="J68">
        <v>939</v>
      </c>
      <c r="K68" t="s">
        <v>36</v>
      </c>
    </row>
    <row r="69" spans="1:11" x14ac:dyDescent="0.2">
      <c r="A69" s="1">
        <v>45397</v>
      </c>
      <c r="B69" t="s">
        <v>16</v>
      </c>
      <c r="C69" t="s">
        <v>20</v>
      </c>
      <c r="D69" t="s">
        <v>12</v>
      </c>
      <c r="E69">
        <v>5678</v>
      </c>
      <c r="F69">
        <v>1.25</v>
      </c>
      <c r="G69">
        <v>1.05</v>
      </c>
      <c r="H69">
        <v>7097.5</v>
      </c>
      <c r="I69">
        <v>5961.9</v>
      </c>
      <c r="J69">
        <v>1135.5999999999899</v>
      </c>
      <c r="K69" t="s">
        <v>38</v>
      </c>
    </row>
    <row r="70" spans="1:11" x14ac:dyDescent="0.2">
      <c r="A70" s="1">
        <v>45551</v>
      </c>
      <c r="B70" t="s">
        <v>32</v>
      </c>
      <c r="C70" t="s">
        <v>23</v>
      </c>
      <c r="D70" t="s">
        <v>12</v>
      </c>
      <c r="E70">
        <v>3055</v>
      </c>
      <c r="F70">
        <v>1.25</v>
      </c>
      <c r="G70">
        <v>1.05</v>
      </c>
      <c r="H70">
        <v>3818.75</v>
      </c>
      <c r="I70">
        <v>3207.75</v>
      </c>
      <c r="J70">
        <v>611</v>
      </c>
      <c r="K70" t="s">
        <v>43</v>
      </c>
    </row>
    <row r="71" spans="1:11" x14ac:dyDescent="0.2">
      <c r="A71" s="1">
        <v>45601</v>
      </c>
      <c r="B71" t="s">
        <v>26</v>
      </c>
      <c r="C71" t="s">
        <v>20</v>
      </c>
      <c r="D71" t="s">
        <v>14</v>
      </c>
      <c r="E71">
        <v>2805</v>
      </c>
      <c r="F71">
        <v>0.9</v>
      </c>
      <c r="G71">
        <v>0.7</v>
      </c>
      <c r="H71">
        <v>2524.5</v>
      </c>
      <c r="I71">
        <v>1963.49999999999</v>
      </c>
      <c r="J71">
        <v>561</v>
      </c>
      <c r="K71" t="s">
        <v>45</v>
      </c>
    </row>
    <row r="72" spans="1:11" x14ac:dyDescent="0.2">
      <c r="A72" s="1">
        <v>45482</v>
      </c>
      <c r="B72" t="s">
        <v>32</v>
      </c>
      <c r="C72" t="s">
        <v>20</v>
      </c>
      <c r="D72" t="s">
        <v>18</v>
      </c>
      <c r="E72">
        <v>5008</v>
      </c>
      <c r="F72">
        <v>1.2</v>
      </c>
      <c r="G72">
        <v>1</v>
      </c>
      <c r="H72">
        <v>6009.5999999999904</v>
      </c>
      <c r="I72">
        <v>5008</v>
      </c>
      <c r="J72">
        <v>1001.59999999999</v>
      </c>
      <c r="K72" t="s">
        <v>41</v>
      </c>
    </row>
    <row r="73" spans="1:11" x14ac:dyDescent="0.2">
      <c r="A73" s="1">
        <v>45509</v>
      </c>
      <c r="B73" t="s">
        <v>13</v>
      </c>
      <c r="C73" t="s">
        <v>23</v>
      </c>
      <c r="D73" t="s">
        <v>12</v>
      </c>
      <c r="E73">
        <v>1588</v>
      </c>
      <c r="F73">
        <v>1.25</v>
      </c>
      <c r="G73">
        <v>1.05</v>
      </c>
      <c r="H73">
        <v>1985</v>
      </c>
      <c r="I73">
        <v>1667.4</v>
      </c>
      <c r="J73">
        <v>317.599999999999</v>
      </c>
      <c r="K73" t="s">
        <v>42</v>
      </c>
    </row>
    <row r="74" spans="1:11" x14ac:dyDescent="0.2">
      <c r="A74" s="1">
        <v>45335</v>
      </c>
      <c r="B74" t="s">
        <v>31</v>
      </c>
      <c r="C74" t="s">
        <v>29</v>
      </c>
      <c r="D74" t="s">
        <v>12</v>
      </c>
      <c r="E74">
        <v>3142</v>
      </c>
      <c r="F74">
        <v>1.25</v>
      </c>
      <c r="G74">
        <v>1.05</v>
      </c>
      <c r="H74">
        <v>3927.5</v>
      </c>
      <c r="I74">
        <v>3299.1</v>
      </c>
      <c r="J74">
        <v>628.39999999999895</v>
      </c>
      <c r="K74" t="s">
        <v>36</v>
      </c>
    </row>
    <row r="75" spans="1:11" x14ac:dyDescent="0.2">
      <c r="A75" s="1">
        <v>45453</v>
      </c>
      <c r="B75" t="s">
        <v>15</v>
      </c>
      <c r="C75" t="s">
        <v>29</v>
      </c>
      <c r="D75" t="s">
        <v>18</v>
      </c>
      <c r="E75">
        <v>1677</v>
      </c>
      <c r="F75">
        <v>1.2</v>
      </c>
      <c r="G75">
        <v>1</v>
      </c>
      <c r="H75">
        <v>2012.3999999999901</v>
      </c>
      <c r="I75">
        <v>1677</v>
      </c>
      <c r="J75">
        <v>335.39999999999901</v>
      </c>
      <c r="K75" t="s">
        <v>40</v>
      </c>
    </row>
    <row r="76" spans="1:11" x14ac:dyDescent="0.2">
      <c r="A76" s="1">
        <v>45493</v>
      </c>
      <c r="B76" t="s">
        <v>26</v>
      </c>
      <c r="C76" t="s">
        <v>20</v>
      </c>
      <c r="D76" t="s">
        <v>18</v>
      </c>
      <c r="E76">
        <v>5416</v>
      </c>
      <c r="F76">
        <v>1.2</v>
      </c>
      <c r="G76">
        <v>1</v>
      </c>
      <c r="H76">
        <v>6499.2</v>
      </c>
      <c r="I76">
        <v>5416</v>
      </c>
      <c r="J76">
        <v>1083.19999999999</v>
      </c>
      <c r="K76" t="s">
        <v>41</v>
      </c>
    </row>
    <row r="77" spans="1:11" x14ac:dyDescent="0.2">
      <c r="A77" s="1">
        <v>45561</v>
      </c>
      <c r="B77" t="s">
        <v>31</v>
      </c>
      <c r="C77" t="s">
        <v>23</v>
      </c>
      <c r="D77" t="s">
        <v>12</v>
      </c>
      <c r="E77">
        <v>5257</v>
      </c>
      <c r="F77">
        <v>1.25</v>
      </c>
      <c r="G77">
        <v>1.05</v>
      </c>
      <c r="H77">
        <v>6571.25</v>
      </c>
      <c r="I77">
        <v>5519.85</v>
      </c>
      <c r="J77">
        <v>1051.3999999999901</v>
      </c>
      <c r="K77" t="s">
        <v>43</v>
      </c>
    </row>
    <row r="78" spans="1:11" x14ac:dyDescent="0.2">
      <c r="A78" s="1">
        <v>45642</v>
      </c>
      <c r="B78" t="s">
        <v>24</v>
      </c>
      <c r="C78" t="s">
        <v>29</v>
      </c>
      <c r="D78" t="s">
        <v>18</v>
      </c>
      <c r="E78">
        <v>3494</v>
      </c>
      <c r="F78">
        <v>1.2</v>
      </c>
      <c r="G78">
        <v>1</v>
      </c>
      <c r="H78">
        <v>4192.8</v>
      </c>
      <c r="I78">
        <v>3494</v>
      </c>
      <c r="J78">
        <v>698.8</v>
      </c>
      <c r="K78" t="s">
        <v>46</v>
      </c>
    </row>
    <row r="79" spans="1:11" x14ac:dyDescent="0.2">
      <c r="A79" s="1">
        <v>45595</v>
      </c>
      <c r="B79" t="s">
        <v>25</v>
      </c>
      <c r="C79" t="s">
        <v>23</v>
      </c>
      <c r="D79" t="s">
        <v>14</v>
      </c>
      <c r="E79">
        <v>1059</v>
      </c>
      <c r="F79">
        <v>0.9</v>
      </c>
      <c r="G79">
        <v>0.7</v>
      </c>
      <c r="H79">
        <v>953.1</v>
      </c>
      <c r="I79">
        <v>741.3</v>
      </c>
      <c r="J79">
        <v>211.8</v>
      </c>
      <c r="K79" t="s">
        <v>44</v>
      </c>
    </row>
    <row r="80" spans="1:11" x14ac:dyDescent="0.2">
      <c r="A80" s="1">
        <v>45562</v>
      </c>
      <c r="B80" t="s">
        <v>25</v>
      </c>
      <c r="C80" t="s">
        <v>23</v>
      </c>
      <c r="D80" t="s">
        <v>12</v>
      </c>
      <c r="E80">
        <v>3464</v>
      </c>
      <c r="F80">
        <v>1.25</v>
      </c>
      <c r="G80">
        <v>1.05</v>
      </c>
      <c r="H80">
        <v>4330</v>
      </c>
      <c r="I80">
        <v>3637.2</v>
      </c>
      <c r="J80">
        <v>692.79999999999905</v>
      </c>
      <c r="K80" t="s">
        <v>43</v>
      </c>
    </row>
    <row r="81" spans="1:11" x14ac:dyDescent="0.2">
      <c r="A81" s="1">
        <v>45506</v>
      </c>
      <c r="B81" t="s">
        <v>28</v>
      </c>
      <c r="C81" t="s">
        <v>23</v>
      </c>
      <c r="D81" t="s">
        <v>18</v>
      </c>
      <c r="E81">
        <v>1771</v>
      </c>
      <c r="F81">
        <v>1.2</v>
      </c>
      <c r="G81">
        <v>1</v>
      </c>
      <c r="H81">
        <v>2125.1999999999998</v>
      </c>
      <c r="I81">
        <v>1771</v>
      </c>
      <c r="J81">
        <v>354.19999999999902</v>
      </c>
      <c r="K81" t="s">
        <v>42</v>
      </c>
    </row>
    <row r="82" spans="1:11" x14ac:dyDescent="0.2">
      <c r="A82" s="1">
        <v>45543</v>
      </c>
      <c r="B82" t="s">
        <v>25</v>
      </c>
      <c r="C82" t="s">
        <v>11</v>
      </c>
      <c r="D82" t="s">
        <v>12</v>
      </c>
      <c r="E82">
        <v>2313</v>
      </c>
      <c r="F82">
        <v>1.25</v>
      </c>
      <c r="G82">
        <v>1.05</v>
      </c>
      <c r="H82">
        <v>2891.25</v>
      </c>
      <c r="I82">
        <v>2428.65</v>
      </c>
      <c r="J82">
        <v>462.599999999999</v>
      </c>
      <c r="K82" t="s">
        <v>43</v>
      </c>
    </row>
    <row r="83" spans="1:11" x14ac:dyDescent="0.2">
      <c r="A83" s="1">
        <v>45481</v>
      </c>
      <c r="B83" t="s">
        <v>32</v>
      </c>
      <c r="C83" t="s">
        <v>23</v>
      </c>
      <c r="D83" t="s">
        <v>18</v>
      </c>
      <c r="E83">
        <v>3415</v>
      </c>
      <c r="F83">
        <v>1.2</v>
      </c>
      <c r="G83">
        <v>1</v>
      </c>
      <c r="H83">
        <v>4098</v>
      </c>
      <c r="I83">
        <v>3415</v>
      </c>
      <c r="J83">
        <v>683</v>
      </c>
      <c r="K83" t="s">
        <v>41</v>
      </c>
    </row>
    <row r="84" spans="1:11" x14ac:dyDescent="0.2">
      <c r="A84" s="1">
        <v>45587</v>
      </c>
      <c r="B84" t="s">
        <v>19</v>
      </c>
      <c r="C84" t="s">
        <v>11</v>
      </c>
      <c r="D84" t="s">
        <v>18</v>
      </c>
      <c r="E84">
        <v>1109</v>
      </c>
      <c r="F84">
        <v>1.2</v>
      </c>
      <c r="G84">
        <v>1</v>
      </c>
      <c r="H84">
        <v>1330.8</v>
      </c>
      <c r="I84">
        <v>1109</v>
      </c>
      <c r="J84">
        <v>221.79999999999899</v>
      </c>
      <c r="K84" t="s">
        <v>44</v>
      </c>
    </row>
    <row r="85" spans="1:11" x14ac:dyDescent="0.2">
      <c r="A85" s="1">
        <v>45504</v>
      </c>
      <c r="B85" t="s">
        <v>15</v>
      </c>
      <c r="C85" t="s">
        <v>20</v>
      </c>
      <c r="D85" t="s">
        <v>18</v>
      </c>
      <c r="E85">
        <v>2961</v>
      </c>
      <c r="F85">
        <v>1.2</v>
      </c>
      <c r="G85">
        <v>1</v>
      </c>
      <c r="H85">
        <v>3553.2</v>
      </c>
      <c r="I85">
        <v>2961</v>
      </c>
      <c r="J85">
        <v>592.19999999999902</v>
      </c>
      <c r="K85" t="s">
        <v>41</v>
      </c>
    </row>
    <row r="86" spans="1:11" x14ac:dyDescent="0.2">
      <c r="A86" s="1">
        <v>45499</v>
      </c>
      <c r="B86" t="s">
        <v>22</v>
      </c>
      <c r="C86" t="s">
        <v>29</v>
      </c>
      <c r="D86" t="s">
        <v>18</v>
      </c>
      <c r="E86">
        <v>4620</v>
      </c>
      <c r="F86">
        <v>1.2</v>
      </c>
      <c r="G86">
        <v>1</v>
      </c>
      <c r="H86">
        <v>5544</v>
      </c>
      <c r="I86">
        <v>4620</v>
      </c>
      <c r="J86">
        <v>924</v>
      </c>
      <c r="K86" t="s">
        <v>41</v>
      </c>
    </row>
    <row r="87" spans="1:11" x14ac:dyDescent="0.2">
      <c r="A87" s="1">
        <v>45528</v>
      </c>
      <c r="B87" t="s">
        <v>21</v>
      </c>
      <c r="C87" t="s">
        <v>29</v>
      </c>
      <c r="D87" t="s">
        <v>12</v>
      </c>
      <c r="E87">
        <v>783</v>
      </c>
      <c r="F87">
        <v>1.25</v>
      </c>
      <c r="G87">
        <v>1.05</v>
      </c>
      <c r="H87">
        <v>978.75</v>
      </c>
      <c r="I87">
        <v>822.15</v>
      </c>
      <c r="J87">
        <v>156.599999999999</v>
      </c>
      <c r="K87" t="s">
        <v>42</v>
      </c>
    </row>
    <row r="88" spans="1:11" x14ac:dyDescent="0.2">
      <c r="A88" s="1">
        <v>45629</v>
      </c>
      <c r="B88" t="s">
        <v>28</v>
      </c>
      <c r="C88" t="s">
        <v>29</v>
      </c>
      <c r="D88" t="s">
        <v>14</v>
      </c>
      <c r="E88">
        <v>3428</v>
      </c>
      <c r="F88">
        <v>0.9</v>
      </c>
      <c r="G88">
        <v>0.7</v>
      </c>
      <c r="H88">
        <v>3085.2</v>
      </c>
      <c r="I88">
        <v>2399.6</v>
      </c>
      <c r="J88">
        <v>685.6</v>
      </c>
      <c r="K88" t="s">
        <v>46</v>
      </c>
    </row>
    <row r="89" spans="1:11" x14ac:dyDescent="0.2">
      <c r="A89" s="1">
        <v>45344</v>
      </c>
      <c r="B89" t="s">
        <v>10</v>
      </c>
      <c r="C89" t="s">
        <v>29</v>
      </c>
      <c r="D89" t="s">
        <v>18</v>
      </c>
      <c r="E89">
        <v>4896</v>
      </c>
      <c r="F89">
        <v>1.2</v>
      </c>
      <c r="G89">
        <v>1</v>
      </c>
      <c r="H89">
        <v>5875.2</v>
      </c>
      <c r="I89">
        <v>4896</v>
      </c>
      <c r="J89">
        <v>979.19999999999902</v>
      </c>
      <c r="K89" t="s">
        <v>36</v>
      </c>
    </row>
    <row r="90" spans="1:11" x14ac:dyDescent="0.2">
      <c r="A90" s="1">
        <v>45571</v>
      </c>
      <c r="B90" t="s">
        <v>10</v>
      </c>
      <c r="C90" t="s">
        <v>29</v>
      </c>
      <c r="D90" t="s">
        <v>12</v>
      </c>
      <c r="E90">
        <v>1591</v>
      </c>
      <c r="F90">
        <v>1.25</v>
      </c>
      <c r="G90">
        <v>1.05</v>
      </c>
      <c r="H90">
        <v>1988.75</v>
      </c>
      <c r="I90">
        <v>1670.55</v>
      </c>
      <c r="J90">
        <v>318.19999999999902</v>
      </c>
      <c r="K90" t="s">
        <v>44</v>
      </c>
    </row>
    <row r="91" spans="1:11" x14ac:dyDescent="0.2">
      <c r="A91" s="1">
        <v>45508</v>
      </c>
      <c r="B91" t="s">
        <v>21</v>
      </c>
      <c r="C91" t="s">
        <v>29</v>
      </c>
      <c r="D91" t="s">
        <v>18</v>
      </c>
      <c r="E91">
        <v>5626</v>
      </c>
      <c r="F91">
        <v>1.2</v>
      </c>
      <c r="G91">
        <v>1</v>
      </c>
      <c r="H91">
        <v>6751.2</v>
      </c>
      <c r="I91">
        <v>5626</v>
      </c>
      <c r="J91">
        <v>1125.19999999999</v>
      </c>
      <c r="K91" t="s">
        <v>42</v>
      </c>
    </row>
    <row r="92" spans="1:11" x14ac:dyDescent="0.2">
      <c r="A92" s="1">
        <v>45543</v>
      </c>
      <c r="B92" t="s">
        <v>31</v>
      </c>
      <c r="C92" t="s">
        <v>29</v>
      </c>
      <c r="D92" t="s">
        <v>18</v>
      </c>
      <c r="E92">
        <v>1316</v>
      </c>
      <c r="F92">
        <v>1.2</v>
      </c>
      <c r="G92">
        <v>1</v>
      </c>
      <c r="H92">
        <v>1579.2</v>
      </c>
      <c r="I92">
        <v>1316</v>
      </c>
      <c r="J92">
        <v>263.2</v>
      </c>
      <c r="K92" t="s">
        <v>43</v>
      </c>
    </row>
    <row r="93" spans="1:11" x14ac:dyDescent="0.2">
      <c r="A93" s="1">
        <v>45479</v>
      </c>
      <c r="B93" t="s">
        <v>21</v>
      </c>
      <c r="C93" t="s">
        <v>20</v>
      </c>
      <c r="D93" t="s">
        <v>12</v>
      </c>
      <c r="E93">
        <v>582</v>
      </c>
      <c r="F93">
        <v>1.25</v>
      </c>
      <c r="G93">
        <v>1.05</v>
      </c>
      <c r="H93">
        <v>727.5</v>
      </c>
      <c r="I93">
        <v>611.1</v>
      </c>
      <c r="J93">
        <v>116.399999999999</v>
      </c>
      <c r="K93" t="s">
        <v>41</v>
      </c>
    </row>
    <row r="94" spans="1:11" x14ac:dyDescent="0.2">
      <c r="A94" s="1">
        <v>45332</v>
      </c>
      <c r="B94" t="s">
        <v>21</v>
      </c>
      <c r="C94" t="s">
        <v>23</v>
      </c>
      <c r="D94" t="s">
        <v>14</v>
      </c>
      <c r="E94">
        <v>2420</v>
      </c>
      <c r="F94">
        <v>0.9</v>
      </c>
      <c r="G94">
        <v>0.7</v>
      </c>
      <c r="H94">
        <v>2178</v>
      </c>
      <c r="I94">
        <v>1694</v>
      </c>
      <c r="J94">
        <v>484</v>
      </c>
      <c r="K94" t="s">
        <v>36</v>
      </c>
    </row>
    <row r="95" spans="1:11" x14ac:dyDescent="0.2">
      <c r="A95" s="1">
        <v>45448</v>
      </c>
      <c r="B95" t="s">
        <v>10</v>
      </c>
      <c r="C95" t="s">
        <v>17</v>
      </c>
      <c r="D95" t="s">
        <v>14</v>
      </c>
      <c r="E95">
        <v>3991</v>
      </c>
      <c r="F95">
        <v>0.9</v>
      </c>
      <c r="G95">
        <v>0.7</v>
      </c>
      <c r="H95">
        <v>3591.9</v>
      </c>
      <c r="I95">
        <v>2793.7</v>
      </c>
      <c r="J95">
        <v>798.2</v>
      </c>
      <c r="K95" t="s">
        <v>40</v>
      </c>
    </row>
    <row r="96" spans="1:11" x14ac:dyDescent="0.2">
      <c r="A96" s="1">
        <v>45306</v>
      </c>
      <c r="B96" t="s">
        <v>28</v>
      </c>
      <c r="C96" t="s">
        <v>11</v>
      </c>
      <c r="D96" t="s">
        <v>12</v>
      </c>
      <c r="E96">
        <v>3644</v>
      </c>
      <c r="F96">
        <v>1.25</v>
      </c>
      <c r="G96">
        <v>1.05</v>
      </c>
      <c r="H96">
        <v>4555</v>
      </c>
      <c r="I96">
        <v>3826.2</v>
      </c>
      <c r="J96">
        <v>728.79999999999905</v>
      </c>
      <c r="K96" t="s">
        <v>35</v>
      </c>
    </row>
    <row r="97" spans="1:11" x14ac:dyDescent="0.2">
      <c r="A97" s="1">
        <v>45592</v>
      </c>
      <c r="B97" t="s">
        <v>24</v>
      </c>
      <c r="C97" t="s">
        <v>17</v>
      </c>
      <c r="D97" t="s">
        <v>14</v>
      </c>
      <c r="E97">
        <v>2593</v>
      </c>
      <c r="F97">
        <v>0.9</v>
      </c>
      <c r="G97">
        <v>0.7</v>
      </c>
      <c r="H97">
        <v>2333.6999999999998</v>
      </c>
      <c r="I97">
        <v>1815.1</v>
      </c>
      <c r="J97">
        <v>518.6</v>
      </c>
      <c r="K97" t="s">
        <v>44</v>
      </c>
    </row>
    <row r="98" spans="1:11" x14ac:dyDescent="0.2">
      <c r="A98" s="1">
        <v>45356</v>
      </c>
      <c r="B98" t="s">
        <v>32</v>
      </c>
      <c r="C98" t="s">
        <v>17</v>
      </c>
      <c r="D98" t="s">
        <v>12</v>
      </c>
      <c r="E98">
        <v>5213</v>
      </c>
      <c r="F98">
        <v>1.25</v>
      </c>
      <c r="G98">
        <v>1.05</v>
      </c>
      <c r="H98">
        <v>6516.25</v>
      </c>
      <c r="I98">
        <v>5473.65</v>
      </c>
      <c r="J98">
        <v>1042.5999999999899</v>
      </c>
      <c r="K98" t="s">
        <v>37</v>
      </c>
    </row>
    <row r="99" spans="1:11" x14ac:dyDescent="0.2">
      <c r="A99" s="1">
        <v>45636</v>
      </c>
      <c r="B99" t="s">
        <v>27</v>
      </c>
      <c r="C99" t="s">
        <v>23</v>
      </c>
      <c r="D99" t="s">
        <v>12</v>
      </c>
      <c r="E99">
        <v>675</v>
      </c>
      <c r="F99">
        <v>1.25</v>
      </c>
      <c r="G99">
        <v>1.05</v>
      </c>
      <c r="H99">
        <v>843.75</v>
      </c>
      <c r="I99">
        <v>708.75</v>
      </c>
      <c r="J99">
        <v>135</v>
      </c>
      <c r="K99" t="s">
        <v>46</v>
      </c>
    </row>
    <row r="100" spans="1:11" x14ac:dyDescent="0.2">
      <c r="A100" s="1">
        <v>45618</v>
      </c>
      <c r="B100" t="s">
        <v>25</v>
      </c>
      <c r="C100" t="s">
        <v>23</v>
      </c>
      <c r="D100" t="s">
        <v>12</v>
      </c>
      <c r="E100">
        <v>5785</v>
      </c>
      <c r="F100">
        <v>1.25</v>
      </c>
      <c r="G100">
        <v>1.05</v>
      </c>
      <c r="H100">
        <v>7231.25</v>
      </c>
      <c r="I100">
        <v>6074.25</v>
      </c>
      <c r="J100">
        <v>1157</v>
      </c>
      <c r="K100" t="s">
        <v>45</v>
      </c>
    </row>
    <row r="101" spans="1:11" x14ac:dyDescent="0.2">
      <c r="A101" s="1">
        <v>45300</v>
      </c>
      <c r="B101" t="s">
        <v>25</v>
      </c>
      <c r="C101" t="s">
        <v>23</v>
      </c>
      <c r="D101" t="s">
        <v>14</v>
      </c>
      <c r="E101">
        <v>3204</v>
      </c>
      <c r="F101">
        <v>0.9</v>
      </c>
      <c r="G101">
        <v>0.7</v>
      </c>
      <c r="H101">
        <v>2883.6</v>
      </c>
      <c r="I101">
        <v>2242.7999999999902</v>
      </c>
      <c r="J101">
        <v>640.79999999999995</v>
      </c>
      <c r="K101" t="s">
        <v>35</v>
      </c>
    </row>
    <row r="102" spans="1:11" x14ac:dyDescent="0.2">
      <c r="A102" s="1">
        <v>45635</v>
      </c>
      <c r="B102" t="s">
        <v>19</v>
      </c>
      <c r="C102" t="s">
        <v>29</v>
      </c>
      <c r="D102" t="s">
        <v>18</v>
      </c>
      <c r="E102">
        <v>5437</v>
      </c>
      <c r="F102">
        <v>1.2</v>
      </c>
      <c r="G102">
        <v>1</v>
      </c>
      <c r="H102">
        <v>6524.4</v>
      </c>
      <c r="I102">
        <v>5437</v>
      </c>
      <c r="J102">
        <v>1087.3999999999901</v>
      </c>
      <c r="K102" t="s">
        <v>46</v>
      </c>
    </row>
    <row r="103" spans="1:11" x14ac:dyDescent="0.2">
      <c r="A103" s="1">
        <v>45420</v>
      </c>
      <c r="B103" t="s">
        <v>28</v>
      </c>
      <c r="C103" t="s">
        <v>20</v>
      </c>
      <c r="D103" t="s">
        <v>12</v>
      </c>
      <c r="E103">
        <v>869</v>
      </c>
      <c r="F103">
        <v>1.25</v>
      </c>
      <c r="G103">
        <v>1.05</v>
      </c>
      <c r="H103">
        <v>1086.25</v>
      </c>
      <c r="I103">
        <v>912.45</v>
      </c>
      <c r="J103">
        <v>173.79999999999899</v>
      </c>
      <c r="K103" t="s">
        <v>39</v>
      </c>
    </row>
    <row r="104" spans="1:11" x14ac:dyDescent="0.2">
      <c r="A104" s="1">
        <v>45427</v>
      </c>
      <c r="B104" t="s">
        <v>19</v>
      </c>
      <c r="C104" t="s">
        <v>29</v>
      </c>
      <c r="D104" t="s">
        <v>12</v>
      </c>
      <c r="E104">
        <v>2318</v>
      </c>
      <c r="F104">
        <v>1.25</v>
      </c>
      <c r="G104">
        <v>1.05</v>
      </c>
      <c r="H104">
        <v>2897.5</v>
      </c>
      <c r="I104">
        <v>2433.9</v>
      </c>
      <c r="J104">
        <v>463.599999999999</v>
      </c>
      <c r="K104" t="s">
        <v>39</v>
      </c>
    </row>
    <row r="105" spans="1:11" x14ac:dyDescent="0.2">
      <c r="A105" s="1">
        <v>45354</v>
      </c>
      <c r="B105" t="s">
        <v>22</v>
      </c>
      <c r="C105" t="s">
        <v>20</v>
      </c>
      <c r="D105" t="s">
        <v>18</v>
      </c>
      <c r="E105">
        <v>2601</v>
      </c>
      <c r="F105">
        <v>1.2</v>
      </c>
      <c r="G105">
        <v>1</v>
      </c>
      <c r="H105">
        <v>3121.2</v>
      </c>
      <c r="I105">
        <v>2601</v>
      </c>
      <c r="J105">
        <v>520.19999999999902</v>
      </c>
      <c r="K105" t="s">
        <v>37</v>
      </c>
    </row>
    <row r="106" spans="1:11" x14ac:dyDescent="0.2">
      <c r="A106" s="1">
        <v>45430</v>
      </c>
      <c r="B106" t="s">
        <v>22</v>
      </c>
      <c r="C106" t="s">
        <v>20</v>
      </c>
      <c r="D106" t="s">
        <v>12</v>
      </c>
      <c r="E106">
        <v>5285</v>
      </c>
      <c r="F106">
        <v>1.25</v>
      </c>
      <c r="G106">
        <v>1.05</v>
      </c>
      <c r="H106">
        <v>6606.25</v>
      </c>
      <c r="I106">
        <v>5549.25</v>
      </c>
      <c r="J106">
        <v>1057</v>
      </c>
      <c r="K106" t="s">
        <v>39</v>
      </c>
    </row>
    <row r="107" spans="1:11" x14ac:dyDescent="0.2">
      <c r="A107" s="1">
        <v>45372</v>
      </c>
      <c r="B107" t="s">
        <v>19</v>
      </c>
      <c r="C107" t="s">
        <v>17</v>
      </c>
      <c r="D107" t="s">
        <v>14</v>
      </c>
      <c r="E107">
        <v>3990</v>
      </c>
      <c r="F107">
        <v>0.9</v>
      </c>
      <c r="G107">
        <v>0.7</v>
      </c>
      <c r="H107">
        <v>3591</v>
      </c>
      <c r="I107">
        <v>2793</v>
      </c>
      <c r="J107">
        <v>798</v>
      </c>
      <c r="K107" t="s">
        <v>37</v>
      </c>
    </row>
    <row r="108" spans="1:11" x14ac:dyDescent="0.2">
      <c r="A108" s="1">
        <v>45454</v>
      </c>
      <c r="B108" t="s">
        <v>28</v>
      </c>
      <c r="C108" t="s">
        <v>17</v>
      </c>
      <c r="D108" t="s">
        <v>18</v>
      </c>
      <c r="E108">
        <v>2279</v>
      </c>
      <c r="F108">
        <v>1.2</v>
      </c>
      <c r="G108">
        <v>1</v>
      </c>
      <c r="H108">
        <v>2734.7999999999902</v>
      </c>
      <c r="I108">
        <v>2279</v>
      </c>
      <c r="J108">
        <v>455.79999999999899</v>
      </c>
      <c r="K108" t="s">
        <v>40</v>
      </c>
    </row>
    <row r="109" spans="1:11" x14ac:dyDescent="0.2">
      <c r="A109" s="1">
        <v>45580</v>
      </c>
      <c r="B109" t="s">
        <v>19</v>
      </c>
      <c r="C109" t="s">
        <v>20</v>
      </c>
      <c r="D109" t="s">
        <v>18</v>
      </c>
      <c r="E109">
        <v>1864</v>
      </c>
      <c r="F109">
        <v>1.2</v>
      </c>
      <c r="G109">
        <v>1</v>
      </c>
      <c r="H109">
        <v>2236.7999999999902</v>
      </c>
      <c r="I109">
        <v>1864</v>
      </c>
      <c r="J109">
        <v>372.79999999999899</v>
      </c>
      <c r="K109" t="s">
        <v>44</v>
      </c>
    </row>
    <row r="110" spans="1:11" x14ac:dyDescent="0.2">
      <c r="A110" s="1">
        <v>45552</v>
      </c>
      <c r="B110" t="s">
        <v>25</v>
      </c>
      <c r="C110" t="s">
        <v>20</v>
      </c>
      <c r="D110" t="s">
        <v>14</v>
      </c>
      <c r="E110">
        <v>4962</v>
      </c>
      <c r="F110">
        <v>0.9</v>
      </c>
      <c r="G110">
        <v>0.7</v>
      </c>
      <c r="H110">
        <v>4465.8</v>
      </c>
      <c r="I110">
        <v>3473.3999999999901</v>
      </c>
      <c r="J110">
        <v>992.4</v>
      </c>
      <c r="K110" t="s">
        <v>43</v>
      </c>
    </row>
    <row r="111" spans="1:11" x14ac:dyDescent="0.2">
      <c r="A111" s="1">
        <v>45522</v>
      </c>
      <c r="B111" t="s">
        <v>26</v>
      </c>
      <c r="C111" t="s">
        <v>29</v>
      </c>
      <c r="D111" t="s">
        <v>12</v>
      </c>
      <c r="E111">
        <v>3842</v>
      </c>
      <c r="F111">
        <v>1.25</v>
      </c>
      <c r="G111">
        <v>1.05</v>
      </c>
      <c r="H111">
        <v>4802.5</v>
      </c>
      <c r="I111">
        <v>4034.1</v>
      </c>
      <c r="J111">
        <v>768.39999999999895</v>
      </c>
      <c r="K111" t="s">
        <v>42</v>
      </c>
    </row>
    <row r="112" spans="1:11" x14ac:dyDescent="0.2">
      <c r="A112" s="1">
        <v>45332</v>
      </c>
      <c r="B112" t="s">
        <v>13</v>
      </c>
      <c r="C112" t="s">
        <v>29</v>
      </c>
      <c r="D112" t="s">
        <v>14</v>
      </c>
      <c r="E112">
        <v>5239</v>
      </c>
      <c r="F112">
        <v>0.9</v>
      </c>
      <c r="G112">
        <v>0.7</v>
      </c>
      <c r="H112">
        <v>4715.1000000000004</v>
      </c>
      <c r="I112">
        <v>3667.2999999999902</v>
      </c>
      <c r="J112">
        <v>1047.8</v>
      </c>
      <c r="K112" t="s">
        <v>36</v>
      </c>
    </row>
    <row r="113" spans="1:11" x14ac:dyDescent="0.2">
      <c r="A113" s="1">
        <v>45319</v>
      </c>
      <c r="B113" t="s">
        <v>10</v>
      </c>
      <c r="C113" t="s">
        <v>17</v>
      </c>
      <c r="D113" t="s">
        <v>18</v>
      </c>
      <c r="E113">
        <v>4176</v>
      </c>
      <c r="F113">
        <v>1.2</v>
      </c>
      <c r="G113">
        <v>1</v>
      </c>
      <c r="H113">
        <v>5011.2</v>
      </c>
      <c r="I113">
        <v>4176</v>
      </c>
      <c r="J113">
        <v>835.19999999999902</v>
      </c>
      <c r="K113" t="s">
        <v>35</v>
      </c>
    </row>
    <row r="114" spans="1:11" x14ac:dyDescent="0.2">
      <c r="A114" s="1">
        <v>45426</v>
      </c>
      <c r="B114" t="s">
        <v>10</v>
      </c>
      <c r="C114" t="s">
        <v>23</v>
      </c>
      <c r="D114" t="s">
        <v>18</v>
      </c>
      <c r="E114">
        <v>2926</v>
      </c>
      <c r="F114">
        <v>1.2</v>
      </c>
      <c r="G114">
        <v>1</v>
      </c>
      <c r="H114">
        <v>3511.2</v>
      </c>
      <c r="I114">
        <v>2926</v>
      </c>
      <c r="J114">
        <v>585.19999999999902</v>
      </c>
      <c r="K114" t="s">
        <v>39</v>
      </c>
    </row>
    <row r="115" spans="1:11" x14ac:dyDescent="0.2">
      <c r="A115" s="1">
        <v>45492</v>
      </c>
      <c r="B115" t="s">
        <v>15</v>
      </c>
      <c r="C115" t="s">
        <v>20</v>
      </c>
      <c r="D115" t="s">
        <v>12</v>
      </c>
      <c r="E115">
        <v>572</v>
      </c>
      <c r="F115">
        <v>1.25</v>
      </c>
      <c r="G115">
        <v>1.05</v>
      </c>
      <c r="H115">
        <v>715</v>
      </c>
      <c r="I115">
        <v>600.6</v>
      </c>
      <c r="J115">
        <v>114.399999999999</v>
      </c>
      <c r="K115" t="s">
        <v>41</v>
      </c>
    </row>
    <row r="116" spans="1:11" x14ac:dyDescent="0.2">
      <c r="A116" s="1">
        <v>45619</v>
      </c>
      <c r="B116" t="s">
        <v>21</v>
      </c>
      <c r="C116" t="s">
        <v>29</v>
      </c>
      <c r="D116" t="s">
        <v>14</v>
      </c>
      <c r="E116">
        <v>3462</v>
      </c>
      <c r="F116">
        <v>0.9</v>
      </c>
      <c r="G116">
        <v>0.7</v>
      </c>
      <c r="H116">
        <v>3115.8</v>
      </c>
      <c r="I116">
        <v>2423.3999999999901</v>
      </c>
      <c r="J116">
        <v>692.4</v>
      </c>
      <c r="K116" t="s">
        <v>45</v>
      </c>
    </row>
    <row r="117" spans="1:11" x14ac:dyDescent="0.2">
      <c r="A117" s="1">
        <v>45559</v>
      </c>
      <c r="B117" t="s">
        <v>13</v>
      </c>
      <c r="C117" t="s">
        <v>17</v>
      </c>
      <c r="D117" t="s">
        <v>12</v>
      </c>
      <c r="E117">
        <v>5867</v>
      </c>
      <c r="F117">
        <v>1.25</v>
      </c>
      <c r="G117">
        <v>1.05</v>
      </c>
      <c r="H117">
        <v>7333.75</v>
      </c>
      <c r="I117">
        <v>6160.35</v>
      </c>
      <c r="J117">
        <v>1173.3999999999901</v>
      </c>
      <c r="K117" t="s">
        <v>43</v>
      </c>
    </row>
    <row r="118" spans="1:11" x14ac:dyDescent="0.2">
      <c r="A118" s="1">
        <v>45324</v>
      </c>
      <c r="B118" t="s">
        <v>32</v>
      </c>
      <c r="C118" t="s">
        <v>29</v>
      </c>
      <c r="D118" t="s">
        <v>12</v>
      </c>
      <c r="E118">
        <v>1359</v>
      </c>
      <c r="F118">
        <v>1.25</v>
      </c>
      <c r="G118">
        <v>1.05</v>
      </c>
      <c r="H118">
        <v>1698.75</v>
      </c>
      <c r="I118">
        <v>1426.95</v>
      </c>
      <c r="J118">
        <v>271.79999999999899</v>
      </c>
      <c r="K118" t="s">
        <v>36</v>
      </c>
    </row>
    <row r="119" spans="1:11" x14ac:dyDescent="0.2">
      <c r="A119" s="1">
        <v>45339</v>
      </c>
      <c r="B119" t="s">
        <v>28</v>
      </c>
      <c r="C119" t="s">
        <v>20</v>
      </c>
      <c r="D119" t="s">
        <v>12</v>
      </c>
      <c r="E119">
        <v>4356</v>
      </c>
      <c r="F119">
        <v>1.25</v>
      </c>
      <c r="G119">
        <v>1.05</v>
      </c>
      <c r="H119">
        <v>5445</v>
      </c>
      <c r="I119">
        <v>4573.8</v>
      </c>
      <c r="J119">
        <v>871.19999999999902</v>
      </c>
      <c r="K119" t="s">
        <v>36</v>
      </c>
    </row>
    <row r="120" spans="1:11" x14ac:dyDescent="0.2">
      <c r="A120" s="1">
        <v>45353</v>
      </c>
      <c r="B120" t="s">
        <v>16</v>
      </c>
      <c r="C120" t="s">
        <v>20</v>
      </c>
      <c r="D120" t="s">
        <v>18</v>
      </c>
      <c r="E120">
        <v>4638</v>
      </c>
      <c r="F120">
        <v>1.2</v>
      </c>
      <c r="G120">
        <v>1</v>
      </c>
      <c r="H120">
        <v>5565.5999999999904</v>
      </c>
      <c r="I120">
        <v>4638</v>
      </c>
      <c r="J120">
        <v>927.599999999999</v>
      </c>
      <c r="K120" t="s">
        <v>37</v>
      </c>
    </row>
    <row r="121" spans="1:11" x14ac:dyDescent="0.2">
      <c r="A121" s="1">
        <v>45507</v>
      </c>
      <c r="B121" t="s">
        <v>13</v>
      </c>
      <c r="C121" t="s">
        <v>11</v>
      </c>
      <c r="D121" t="s">
        <v>18</v>
      </c>
      <c r="E121">
        <v>2924</v>
      </c>
      <c r="F121">
        <v>1.2</v>
      </c>
      <c r="G121">
        <v>1</v>
      </c>
      <c r="H121">
        <v>3508.7999999999902</v>
      </c>
      <c r="I121">
        <v>2924</v>
      </c>
      <c r="J121">
        <v>584.79999999999905</v>
      </c>
      <c r="K121" t="s">
        <v>42</v>
      </c>
    </row>
    <row r="122" spans="1:11" x14ac:dyDescent="0.2">
      <c r="A122" s="1">
        <v>45584</v>
      </c>
      <c r="B122" t="s">
        <v>15</v>
      </c>
      <c r="C122" t="s">
        <v>23</v>
      </c>
      <c r="D122" t="s">
        <v>18</v>
      </c>
      <c r="E122">
        <v>1564</v>
      </c>
      <c r="F122">
        <v>1.2</v>
      </c>
      <c r="G122">
        <v>1</v>
      </c>
      <c r="H122">
        <v>1876.8</v>
      </c>
      <c r="I122">
        <v>1564</v>
      </c>
      <c r="J122">
        <v>312.79999999999899</v>
      </c>
      <c r="K122" t="s">
        <v>44</v>
      </c>
    </row>
    <row r="123" spans="1:11" x14ac:dyDescent="0.2">
      <c r="A123" s="1">
        <v>45390</v>
      </c>
      <c r="B123" t="s">
        <v>22</v>
      </c>
      <c r="C123" t="s">
        <v>11</v>
      </c>
      <c r="D123" t="s">
        <v>14</v>
      </c>
      <c r="E123">
        <v>2717</v>
      </c>
      <c r="F123">
        <v>0.9</v>
      </c>
      <c r="G123">
        <v>0.7</v>
      </c>
      <c r="H123">
        <v>2445.3000000000002</v>
      </c>
      <c r="I123">
        <v>1901.8999999999901</v>
      </c>
      <c r="J123">
        <v>543.4</v>
      </c>
      <c r="K123" t="s">
        <v>38</v>
      </c>
    </row>
    <row r="124" spans="1:11" x14ac:dyDescent="0.2">
      <c r="A124" s="1">
        <v>45463</v>
      </c>
      <c r="B124" t="s">
        <v>31</v>
      </c>
      <c r="C124" t="s">
        <v>17</v>
      </c>
      <c r="D124" t="s">
        <v>12</v>
      </c>
      <c r="E124">
        <v>4517</v>
      </c>
      <c r="F124">
        <v>1.25</v>
      </c>
      <c r="G124">
        <v>1.05</v>
      </c>
      <c r="H124">
        <v>5646.25</v>
      </c>
      <c r="I124">
        <v>4742.8500000000004</v>
      </c>
      <c r="J124">
        <v>903.39999999999895</v>
      </c>
      <c r="K124" t="s">
        <v>40</v>
      </c>
    </row>
    <row r="125" spans="1:11" x14ac:dyDescent="0.2">
      <c r="A125" s="1">
        <v>45651</v>
      </c>
      <c r="B125" t="s">
        <v>21</v>
      </c>
      <c r="C125" t="s">
        <v>29</v>
      </c>
      <c r="D125" t="s">
        <v>18</v>
      </c>
      <c r="E125">
        <v>2759</v>
      </c>
      <c r="F125">
        <v>1.2</v>
      </c>
      <c r="G125">
        <v>1</v>
      </c>
      <c r="H125">
        <v>3310.7999999999902</v>
      </c>
      <c r="I125">
        <v>2759</v>
      </c>
      <c r="J125">
        <v>551.79999999999905</v>
      </c>
      <c r="K125" t="s">
        <v>46</v>
      </c>
    </row>
    <row r="126" spans="1:11" x14ac:dyDescent="0.2">
      <c r="A126" s="1">
        <v>45505</v>
      </c>
      <c r="B126" t="s">
        <v>15</v>
      </c>
      <c r="C126" t="s">
        <v>17</v>
      </c>
      <c r="D126" t="s">
        <v>12</v>
      </c>
      <c r="E126">
        <v>4251</v>
      </c>
      <c r="F126">
        <v>1.25</v>
      </c>
      <c r="G126">
        <v>1.05</v>
      </c>
      <c r="H126">
        <v>5313.75</v>
      </c>
      <c r="I126">
        <v>4463.55</v>
      </c>
      <c r="J126">
        <v>850.19999999999902</v>
      </c>
      <c r="K126" t="s">
        <v>42</v>
      </c>
    </row>
    <row r="127" spans="1:11" x14ac:dyDescent="0.2">
      <c r="A127" s="1">
        <v>45326</v>
      </c>
      <c r="B127" t="s">
        <v>27</v>
      </c>
      <c r="C127" t="s">
        <v>20</v>
      </c>
      <c r="D127" t="s">
        <v>14</v>
      </c>
      <c r="E127">
        <v>2586</v>
      </c>
      <c r="F127">
        <v>0.9</v>
      </c>
      <c r="G127">
        <v>0.7</v>
      </c>
      <c r="H127">
        <v>2327.4</v>
      </c>
      <c r="I127">
        <v>1810.19999999999</v>
      </c>
      <c r="J127">
        <v>517.20000000000005</v>
      </c>
      <c r="K127" t="s">
        <v>36</v>
      </c>
    </row>
    <row r="128" spans="1:11" x14ac:dyDescent="0.2">
      <c r="A128" s="1">
        <v>45518</v>
      </c>
      <c r="B128" t="s">
        <v>16</v>
      </c>
      <c r="C128" t="s">
        <v>11</v>
      </c>
      <c r="D128" t="s">
        <v>18</v>
      </c>
      <c r="E128">
        <v>868</v>
      </c>
      <c r="F128">
        <v>1.2</v>
      </c>
      <c r="G128">
        <v>1</v>
      </c>
      <c r="H128">
        <v>1041.5999999999999</v>
      </c>
      <c r="I128">
        <v>868</v>
      </c>
      <c r="J128">
        <v>173.599999999999</v>
      </c>
      <c r="K128" t="s">
        <v>42</v>
      </c>
    </row>
    <row r="129" spans="1:11" x14ac:dyDescent="0.2">
      <c r="A129" s="1">
        <v>45392</v>
      </c>
      <c r="B129" t="s">
        <v>28</v>
      </c>
      <c r="C129" t="s">
        <v>11</v>
      </c>
      <c r="D129" t="s">
        <v>18</v>
      </c>
      <c r="E129">
        <v>3304</v>
      </c>
      <c r="F129">
        <v>1.2</v>
      </c>
      <c r="G129">
        <v>1</v>
      </c>
      <c r="H129">
        <v>3964.7999999999902</v>
      </c>
      <c r="I129">
        <v>3304</v>
      </c>
      <c r="J129">
        <v>660.79999999999905</v>
      </c>
      <c r="K129" t="s">
        <v>38</v>
      </c>
    </row>
    <row r="130" spans="1:11" x14ac:dyDescent="0.2">
      <c r="A130" s="1">
        <v>45422</v>
      </c>
      <c r="B130" t="s">
        <v>21</v>
      </c>
      <c r="C130" t="s">
        <v>11</v>
      </c>
      <c r="D130" t="s">
        <v>18</v>
      </c>
      <c r="E130">
        <v>650</v>
      </c>
      <c r="F130">
        <v>1.2</v>
      </c>
      <c r="G130">
        <v>1</v>
      </c>
      <c r="H130">
        <v>780</v>
      </c>
      <c r="I130">
        <v>650</v>
      </c>
      <c r="J130">
        <v>130</v>
      </c>
      <c r="K130" t="s">
        <v>39</v>
      </c>
    </row>
    <row r="131" spans="1:11" x14ac:dyDescent="0.2">
      <c r="A131" s="1">
        <v>45548</v>
      </c>
      <c r="B131" t="s">
        <v>32</v>
      </c>
      <c r="C131" t="s">
        <v>17</v>
      </c>
      <c r="D131" t="s">
        <v>12</v>
      </c>
      <c r="E131">
        <v>1634</v>
      </c>
      <c r="F131">
        <v>1.25</v>
      </c>
      <c r="G131">
        <v>1.05</v>
      </c>
      <c r="H131">
        <v>2042.5</v>
      </c>
      <c r="I131">
        <v>1715.7</v>
      </c>
      <c r="J131">
        <v>326.79999999999899</v>
      </c>
      <c r="K131" t="s">
        <v>43</v>
      </c>
    </row>
    <row r="132" spans="1:11" x14ac:dyDescent="0.2">
      <c r="A132" s="1">
        <v>45296</v>
      </c>
      <c r="B132" t="s">
        <v>13</v>
      </c>
      <c r="C132" t="s">
        <v>20</v>
      </c>
      <c r="D132" t="s">
        <v>12</v>
      </c>
      <c r="E132">
        <v>5666</v>
      </c>
      <c r="F132">
        <v>1.25</v>
      </c>
      <c r="G132">
        <v>1.05</v>
      </c>
      <c r="H132">
        <v>7082.5</v>
      </c>
      <c r="I132">
        <v>5949.3</v>
      </c>
      <c r="J132">
        <v>1133.19999999999</v>
      </c>
      <c r="K132" t="s">
        <v>35</v>
      </c>
    </row>
    <row r="133" spans="1:11" x14ac:dyDescent="0.2">
      <c r="A133" s="1">
        <v>45509</v>
      </c>
      <c r="B133" t="s">
        <v>22</v>
      </c>
      <c r="C133" t="s">
        <v>29</v>
      </c>
      <c r="D133" t="s">
        <v>18</v>
      </c>
      <c r="E133">
        <v>5619</v>
      </c>
      <c r="F133">
        <v>1.2</v>
      </c>
      <c r="G133">
        <v>1</v>
      </c>
      <c r="H133">
        <v>6742.8</v>
      </c>
      <c r="I133">
        <v>5619</v>
      </c>
      <c r="J133">
        <v>1123.8</v>
      </c>
      <c r="K133" t="s">
        <v>42</v>
      </c>
    </row>
    <row r="134" spans="1:11" x14ac:dyDescent="0.2">
      <c r="A134" s="1">
        <v>45546</v>
      </c>
      <c r="B134" t="s">
        <v>24</v>
      </c>
      <c r="C134" t="s">
        <v>29</v>
      </c>
      <c r="D134" t="s">
        <v>12</v>
      </c>
      <c r="E134">
        <v>3284</v>
      </c>
      <c r="F134">
        <v>1.25</v>
      </c>
      <c r="G134">
        <v>1.05</v>
      </c>
      <c r="H134">
        <v>4105</v>
      </c>
      <c r="I134">
        <v>3448.2</v>
      </c>
      <c r="J134">
        <v>656.79999999999905</v>
      </c>
      <c r="K134" t="s">
        <v>43</v>
      </c>
    </row>
    <row r="135" spans="1:11" x14ac:dyDescent="0.2">
      <c r="A135" s="1">
        <v>45650</v>
      </c>
      <c r="B135" t="s">
        <v>26</v>
      </c>
      <c r="C135" t="s">
        <v>17</v>
      </c>
      <c r="D135" t="s">
        <v>12</v>
      </c>
      <c r="E135">
        <v>5985</v>
      </c>
      <c r="F135">
        <v>1.25</v>
      </c>
      <c r="G135">
        <v>1.05</v>
      </c>
      <c r="H135">
        <v>7481.25</v>
      </c>
      <c r="I135">
        <v>6284.25</v>
      </c>
      <c r="J135">
        <v>1197</v>
      </c>
      <c r="K135" t="s">
        <v>46</v>
      </c>
    </row>
    <row r="136" spans="1:11" x14ac:dyDescent="0.2">
      <c r="A136" s="1">
        <v>45574</v>
      </c>
      <c r="B136" t="s">
        <v>27</v>
      </c>
      <c r="C136" t="s">
        <v>11</v>
      </c>
      <c r="D136" t="s">
        <v>12</v>
      </c>
      <c r="E136">
        <v>4664</v>
      </c>
      <c r="F136">
        <v>1.25</v>
      </c>
      <c r="G136">
        <v>1.05</v>
      </c>
      <c r="H136">
        <v>5830</v>
      </c>
      <c r="I136">
        <v>4897.2</v>
      </c>
      <c r="J136">
        <v>932.8</v>
      </c>
      <c r="K136" t="s">
        <v>44</v>
      </c>
    </row>
    <row r="137" spans="1:11" x14ac:dyDescent="0.2">
      <c r="A137" s="1">
        <v>45498</v>
      </c>
      <c r="B137" t="s">
        <v>16</v>
      </c>
      <c r="C137" t="s">
        <v>23</v>
      </c>
      <c r="D137" t="s">
        <v>18</v>
      </c>
      <c r="E137">
        <v>2846</v>
      </c>
      <c r="F137">
        <v>1.2</v>
      </c>
      <c r="G137">
        <v>1</v>
      </c>
      <c r="H137">
        <v>3415.2</v>
      </c>
      <c r="I137">
        <v>2846</v>
      </c>
      <c r="J137">
        <v>569.19999999999902</v>
      </c>
      <c r="K137" t="s">
        <v>41</v>
      </c>
    </row>
    <row r="138" spans="1:11" x14ac:dyDescent="0.2">
      <c r="A138" s="1">
        <v>45306</v>
      </c>
      <c r="B138" t="s">
        <v>26</v>
      </c>
      <c r="C138" t="s">
        <v>17</v>
      </c>
      <c r="D138" t="s">
        <v>12</v>
      </c>
      <c r="E138">
        <v>5539</v>
      </c>
      <c r="F138">
        <v>1.25</v>
      </c>
      <c r="G138">
        <v>1.05</v>
      </c>
      <c r="H138">
        <v>6923.75</v>
      </c>
      <c r="I138">
        <v>5815.95</v>
      </c>
      <c r="J138">
        <v>1107.8</v>
      </c>
      <c r="K138" t="s">
        <v>35</v>
      </c>
    </row>
    <row r="139" spans="1:11" x14ac:dyDescent="0.2">
      <c r="A139" s="1">
        <v>45637</v>
      </c>
      <c r="B139" t="s">
        <v>21</v>
      </c>
      <c r="C139" t="s">
        <v>17</v>
      </c>
      <c r="D139" t="s">
        <v>12</v>
      </c>
      <c r="E139">
        <v>5397</v>
      </c>
      <c r="F139">
        <v>1.25</v>
      </c>
      <c r="G139">
        <v>1.05</v>
      </c>
      <c r="H139">
        <v>6746.25</v>
      </c>
      <c r="I139">
        <v>5666.85</v>
      </c>
      <c r="J139">
        <v>1079.3999999999901</v>
      </c>
      <c r="K139" t="s">
        <v>46</v>
      </c>
    </row>
    <row r="140" spans="1:11" x14ac:dyDescent="0.2">
      <c r="A140" s="1">
        <v>45333</v>
      </c>
      <c r="B140" t="s">
        <v>22</v>
      </c>
      <c r="C140" t="s">
        <v>20</v>
      </c>
      <c r="D140" t="s">
        <v>18</v>
      </c>
      <c r="E140">
        <v>2750</v>
      </c>
      <c r="F140">
        <v>1.2</v>
      </c>
      <c r="G140">
        <v>1</v>
      </c>
      <c r="H140">
        <v>3300</v>
      </c>
      <c r="I140">
        <v>2750</v>
      </c>
      <c r="J140">
        <v>550</v>
      </c>
      <c r="K140" t="s">
        <v>36</v>
      </c>
    </row>
    <row r="141" spans="1:11" x14ac:dyDescent="0.2">
      <c r="A141" s="1">
        <v>45470</v>
      </c>
      <c r="B141" t="s">
        <v>22</v>
      </c>
      <c r="C141" t="s">
        <v>29</v>
      </c>
      <c r="D141" t="s">
        <v>18</v>
      </c>
      <c r="E141">
        <v>560</v>
      </c>
      <c r="F141">
        <v>1.2</v>
      </c>
      <c r="G141">
        <v>1</v>
      </c>
      <c r="H141">
        <v>672</v>
      </c>
      <c r="I141">
        <v>560</v>
      </c>
      <c r="J141">
        <v>112</v>
      </c>
      <c r="K141" t="s">
        <v>40</v>
      </c>
    </row>
    <row r="142" spans="1:11" x14ac:dyDescent="0.2">
      <c r="A142" s="1">
        <v>45354</v>
      </c>
      <c r="B142" t="s">
        <v>15</v>
      </c>
      <c r="C142" t="s">
        <v>17</v>
      </c>
      <c r="D142" t="s">
        <v>12</v>
      </c>
      <c r="E142">
        <v>5541</v>
      </c>
      <c r="F142">
        <v>1.25</v>
      </c>
      <c r="G142">
        <v>1.05</v>
      </c>
      <c r="H142">
        <v>6926.25</v>
      </c>
      <c r="I142">
        <v>5818.05</v>
      </c>
      <c r="J142">
        <v>1108.19999999999</v>
      </c>
      <c r="K142" t="s">
        <v>37</v>
      </c>
    </row>
    <row r="143" spans="1:11" x14ac:dyDescent="0.2">
      <c r="A143" s="1">
        <v>45643</v>
      </c>
      <c r="B143" t="s">
        <v>10</v>
      </c>
      <c r="C143" t="s">
        <v>17</v>
      </c>
      <c r="D143" t="s">
        <v>12</v>
      </c>
      <c r="E143">
        <v>3510</v>
      </c>
      <c r="F143">
        <v>1.25</v>
      </c>
      <c r="G143">
        <v>1.05</v>
      </c>
      <c r="H143">
        <v>4387.5</v>
      </c>
      <c r="I143">
        <v>3685.5</v>
      </c>
      <c r="J143">
        <v>702</v>
      </c>
      <c r="K143" t="s">
        <v>46</v>
      </c>
    </row>
    <row r="144" spans="1:11" x14ac:dyDescent="0.2">
      <c r="A144" s="1">
        <v>45522</v>
      </c>
      <c r="B144" t="s">
        <v>10</v>
      </c>
      <c r="C144" t="s">
        <v>11</v>
      </c>
      <c r="D144" t="s">
        <v>12</v>
      </c>
      <c r="E144">
        <v>4401</v>
      </c>
      <c r="F144">
        <v>1.25</v>
      </c>
      <c r="G144">
        <v>1.05</v>
      </c>
      <c r="H144">
        <v>5501.25</v>
      </c>
      <c r="I144">
        <v>4621.05</v>
      </c>
      <c r="J144">
        <v>880.19999999999902</v>
      </c>
      <c r="K144" t="s">
        <v>42</v>
      </c>
    </row>
    <row r="145" spans="1:11" x14ac:dyDescent="0.2">
      <c r="A145" s="1">
        <v>45532</v>
      </c>
      <c r="B145" t="s">
        <v>13</v>
      </c>
      <c r="C145" t="s">
        <v>11</v>
      </c>
      <c r="D145" t="s">
        <v>12</v>
      </c>
      <c r="E145">
        <v>1837</v>
      </c>
      <c r="F145">
        <v>1.25</v>
      </c>
      <c r="G145">
        <v>1.05</v>
      </c>
      <c r="H145">
        <v>2296.25</v>
      </c>
      <c r="I145">
        <v>1928.85</v>
      </c>
      <c r="J145">
        <v>367.39999999999901</v>
      </c>
      <c r="K145" t="s">
        <v>42</v>
      </c>
    </row>
    <row r="146" spans="1:11" x14ac:dyDescent="0.2">
      <c r="A146" s="1">
        <v>45343</v>
      </c>
      <c r="B146" t="s">
        <v>15</v>
      </c>
      <c r="C146" t="s">
        <v>23</v>
      </c>
      <c r="D146" t="s">
        <v>12</v>
      </c>
      <c r="E146">
        <v>1684</v>
      </c>
      <c r="F146">
        <v>1.25</v>
      </c>
      <c r="G146">
        <v>1.05</v>
      </c>
      <c r="H146">
        <v>2105</v>
      </c>
      <c r="I146">
        <v>1768.2</v>
      </c>
      <c r="J146">
        <v>336.79999999999899</v>
      </c>
      <c r="K146" t="s">
        <v>36</v>
      </c>
    </row>
    <row r="147" spans="1:11" x14ac:dyDescent="0.2">
      <c r="A147" s="1">
        <v>45387</v>
      </c>
      <c r="B147" t="s">
        <v>25</v>
      </c>
      <c r="C147" t="s">
        <v>20</v>
      </c>
      <c r="D147" t="s">
        <v>18</v>
      </c>
      <c r="E147">
        <v>4926</v>
      </c>
      <c r="F147">
        <v>1.2</v>
      </c>
      <c r="G147">
        <v>1</v>
      </c>
      <c r="H147">
        <v>5911.2</v>
      </c>
      <c r="I147">
        <v>4926</v>
      </c>
      <c r="J147">
        <v>985.19999999999902</v>
      </c>
      <c r="K147" t="s">
        <v>38</v>
      </c>
    </row>
    <row r="148" spans="1:11" x14ac:dyDescent="0.2">
      <c r="A148" s="1">
        <v>45513</v>
      </c>
      <c r="B148" t="s">
        <v>13</v>
      </c>
      <c r="C148" t="s">
        <v>23</v>
      </c>
      <c r="D148" t="s">
        <v>18</v>
      </c>
      <c r="E148">
        <v>2051</v>
      </c>
      <c r="F148">
        <v>1.2</v>
      </c>
      <c r="G148">
        <v>1</v>
      </c>
      <c r="H148">
        <v>2461.1999999999998</v>
      </c>
      <c r="I148">
        <v>2051</v>
      </c>
      <c r="J148">
        <v>410.19999999999902</v>
      </c>
      <c r="K148" t="s">
        <v>42</v>
      </c>
    </row>
    <row r="149" spans="1:11" x14ac:dyDescent="0.2">
      <c r="A149" s="1">
        <v>45522</v>
      </c>
      <c r="B149" t="s">
        <v>25</v>
      </c>
      <c r="C149" t="s">
        <v>11</v>
      </c>
      <c r="D149" t="s">
        <v>18</v>
      </c>
      <c r="E149">
        <v>4933</v>
      </c>
      <c r="F149">
        <v>1.2</v>
      </c>
      <c r="G149">
        <v>1</v>
      </c>
      <c r="H149">
        <v>5919.5999999999904</v>
      </c>
      <c r="I149">
        <v>4933</v>
      </c>
      <c r="J149">
        <v>986.599999999999</v>
      </c>
      <c r="K149" t="s">
        <v>42</v>
      </c>
    </row>
    <row r="150" spans="1:11" x14ac:dyDescent="0.2">
      <c r="A150" s="1">
        <v>45528</v>
      </c>
      <c r="B150" t="s">
        <v>10</v>
      </c>
      <c r="C150" t="s">
        <v>29</v>
      </c>
      <c r="D150" t="s">
        <v>12</v>
      </c>
      <c r="E150">
        <v>2129</v>
      </c>
      <c r="F150">
        <v>1.25</v>
      </c>
      <c r="G150">
        <v>1.05</v>
      </c>
      <c r="H150">
        <v>2661.25</v>
      </c>
      <c r="I150">
        <v>2235.4499999999998</v>
      </c>
      <c r="J150">
        <v>425.79999999999899</v>
      </c>
      <c r="K150" t="s">
        <v>42</v>
      </c>
    </row>
    <row r="151" spans="1:11" x14ac:dyDescent="0.2">
      <c r="A151" s="1">
        <v>45434</v>
      </c>
      <c r="B151" t="s">
        <v>15</v>
      </c>
      <c r="C151" t="s">
        <v>11</v>
      </c>
      <c r="D151" t="s">
        <v>18</v>
      </c>
      <c r="E151">
        <v>1827</v>
      </c>
      <c r="F151">
        <v>1.2</v>
      </c>
      <c r="G151">
        <v>1</v>
      </c>
      <c r="H151">
        <v>2192.4</v>
      </c>
      <c r="I151">
        <v>1827</v>
      </c>
      <c r="J151">
        <v>365.4</v>
      </c>
      <c r="K151" t="s">
        <v>39</v>
      </c>
    </row>
    <row r="152" spans="1:11" x14ac:dyDescent="0.2">
      <c r="A152" s="1">
        <v>45462</v>
      </c>
      <c r="B152" t="s">
        <v>25</v>
      </c>
      <c r="C152" t="s">
        <v>20</v>
      </c>
      <c r="D152" t="s">
        <v>12</v>
      </c>
      <c r="E152">
        <v>2026</v>
      </c>
      <c r="F152">
        <v>1.25</v>
      </c>
      <c r="G152">
        <v>1.05</v>
      </c>
      <c r="H152">
        <v>2532.5</v>
      </c>
      <c r="I152">
        <v>2127.3000000000002</v>
      </c>
      <c r="J152">
        <v>405.19999999999902</v>
      </c>
      <c r="K152" t="s">
        <v>40</v>
      </c>
    </row>
    <row r="153" spans="1:11" x14ac:dyDescent="0.2">
      <c r="A153" s="1">
        <v>45320</v>
      </c>
      <c r="B153" t="s">
        <v>27</v>
      </c>
      <c r="C153" t="s">
        <v>11</v>
      </c>
      <c r="D153" t="s">
        <v>14</v>
      </c>
      <c r="E153">
        <v>2173</v>
      </c>
      <c r="F153">
        <v>0.9</v>
      </c>
      <c r="G153">
        <v>0.7</v>
      </c>
      <c r="H153">
        <v>1955.7</v>
      </c>
      <c r="I153">
        <v>1521.1</v>
      </c>
      <c r="J153">
        <v>434.6</v>
      </c>
      <c r="K153" t="s">
        <v>35</v>
      </c>
    </row>
    <row r="154" spans="1:11" x14ac:dyDescent="0.2">
      <c r="A154" s="1">
        <v>45327</v>
      </c>
      <c r="B154" t="s">
        <v>15</v>
      </c>
      <c r="C154" t="s">
        <v>20</v>
      </c>
      <c r="D154" t="s">
        <v>18</v>
      </c>
      <c r="E154">
        <v>1861</v>
      </c>
      <c r="F154">
        <v>1.2</v>
      </c>
      <c r="G154">
        <v>1</v>
      </c>
      <c r="H154">
        <v>2233.1999999999998</v>
      </c>
      <c r="I154">
        <v>1861</v>
      </c>
      <c r="J154">
        <v>372.19999999999902</v>
      </c>
      <c r="K154" t="s">
        <v>36</v>
      </c>
    </row>
    <row r="155" spans="1:11" x14ac:dyDescent="0.2">
      <c r="A155" s="1">
        <v>45304</v>
      </c>
      <c r="B155" t="s">
        <v>10</v>
      </c>
      <c r="C155" t="s">
        <v>20</v>
      </c>
      <c r="D155" t="s">
        <v>12</v>
      </c>
      <c r="E155">
        <v>2073</v>
      </c>
      <c r="F155">
        <v>1.25</v>
      </c>
      <c r="G155">
        <v>1.05</v>
      </c>
      <c r="H155">
        <v>2591.25</v>
      </c>
      <c r="I155">
        <v>2176.65</v>
      </c>
      <c r="J155">
        <v>414.599999999999</v>
      </c>
      <c r="K155" t="s">
        <v>35</v>
      </c>
    </row>
    <row r="156" spans="1:11" x14ac:dyDescent="0.2">
      <c r="A156" s="1">
        <v>45451</v>
      </c>
      <c r="B156" t="s">
        <v>13</v>
      </c>
      <c r="C156" t="s">
        <v>20</v>
      </c>
      <c r="D156" t="s">
        <v>18</v>
      </c>
      <c r="E156">
        <v>3186</v>
      </c>
      <c r="F156">
        <v>1.2</v>
      </c>
      <c r="G156">
        <v>1</v>
      </c>
      <c r="H156">
        <v>3823.2</v>
      </c>
      <c r="I156">
        <v>3186</v>
      </c>
      <c r="J156">
        <v>637.19999999999902</v>
      </c>
      <c r="K156" t="s">
        <v>40</v>
      </c>
    </row>
    <row r="157" spans="1:11" x14ac:dyDescent="0.2">
      <c r="A157" s="1">
        <v>45618</v>
      </c>
      <c r="B157" t="s">
        <v>30</v>
      </c>
      <c r="C157" t="s">
        <v>20</v>
      </c>
      <c r="D157" t="s">
        <v>12</v>
      </c>
      <c r="E157">
        <v>4870</v>
      </c>
      <c r="F157">
        <v>1.25</v>
      </c>
      <c r="G157">
        <v>1.05</v>
      </c>
      <c r="H157">
        <v>6087.5</v>
      </c>
      <c r="I157">
        <v>5113.5</v>
      </c>
      <c r="J157">
        <v>974</v>
      </c>
      <c r="K157" t="s">
        <v>45</v>
      </c>
    </row>
    <row r="158" spans="1:11" x14ac:dyDescent="0.2">
      <c r="A158" s="1">
        <v>45478</v>
      </c>
      <c r="B158" t="s">
        <v>15</v>
      </c>
      <c r="C158" t="s">
        <v>20</v>
      </c>
      <c r="D158" t="s">
        <v>18</v>
      </c>
      <c r="E158">
        <v>5783</v>
      </c>
      <c r="F158">
        <v>1.2</v>
      </c>
      <c r="G158">
        <v>1</v>
      </c>
      <c r="H158">
        <v>6939.5999999999904</v>
      </c>
      <c r="I158">
        <v>5783</v>
      </c>
      <c r="J158">
        <v>1156.5999999999899</v>
      </c>
      <c r="K158" t="s">
        <v>41</v>
      </c>
    </row>
    <row r="159" spans="1:11" x14ac:dyDescent="0.2">
      <c r="A159" s="1">
        <v>45534</v>
      </c>
      <c r="B159" t="s">
        <v>24</v>
      </c>
      <c r="C159" t="s">
        <v>29</v>
      </c>
      <c r="D159" t="s">
        <v>12</v>
      </c>
      <c r="E159">
        <v>2866</v>
      </c>
      <c r="F159">
        <v>1.25</v>
      </c>
      <c r="G159">
        <v>1.05</v>
      </c>
      <c r="H159">
        <v>3582.5</v>
      </c>
      <c r="I159">
        <v>3009.3</v>
      </c>
      <c r="J159">
        <v>573.19999999999902</v>
      </c>
      <c r="K159" t="s">
        <v>42</v>
      </c>
    </row>
    <row r="160" spans="1:11" x14ac:dyDescent="0.2">
      <c r="A160" s="1">
        <v>45377</v>
      </c>
      <c r="B160" t="s">
        <v>16</v>
      </c>
      <c r="C160" t="s">
        <v>23</v>
      </c>
      <c r="D160" t="s">
        <v>12</v>
      </c>
      <c r="E160">
        <v>4257</v>
      </c>
      <c r="F160">
        <v>1.25</v>
      </c>
      <c r="G160">
        <v>1.05</v>
      </c>
      <c r="H160">
        <v>5321.25</v>
      </c>
      <c r="I160">
        <v>4469.8500000000004</v>
      </c>
      <c r="J160">
        <v>851.39999999999895</v>
      </c>
      <c r="K160" t="s">
        <v>37</v>
      </c>
    </row>
    <row r="161" spans="1:11" x14ac:dyDescent="0.2">
      <c r="A161" s="1">
        <v>45575</v>
      </c>
      <c r="B161" t="s">
        <v>10</v>
      </c>
      <c r="C161" t="s">
        <v>17</v>
      </c>
      <c r="D161" t="s">
        <v>14</v>
      </c>
      <c r="E161">
        <v>2934</v>
      </c>
      <c r="F161">
        <v>0.9</v>
      </c>
      <c r="G161">
        <v>0.7</v>
      </c>
      <c r="H161">
        <v>2640.6</v>
      </c>
      <c r="I161">
        <v>2053.7999999999902</v>
      </c>
      <c r="J161">
        <v>586.79999999999995</v>
      </c>
      <c r="K161" t="s">
        <v>44</v>
      </c>
    </row>
    <row r="162" spans="1:11" x14ac:dyDescent="0.2">
      <c r="A162" s="1">
        <v>45357</v>
      </c>
      <c r="B162" t="s">
        <v>19</v>
      </c>
      <c r="C162" t="s">
        <v>23</v>
      </c>
      <c r="D162" t="s">
        <v>12</v>
      </c>
      <c r="E162">
        <v>2493</v>
      </c>
      <c r="F162">
        <v>1.25</v>
      </c>
      <c r="G162">
        <v>1.05</v>
      </c>
      <c r="H162">
        <v>3116.25</v>
      </c>
      <c r="I162">
        <v>2617.65</v>
      </c>
      <c r="J162">
        <v>498.599999999999</v>
      </c>
      <c r="K162" t="s">
        <v>37</v>
      </c>
    </row>
    <row r="163" spans="1:11" x14ac:dyDescent="0.2">
      <c r="A163" s="1">
        <v>45461</v>
      </c>
      <c r="B163" t="s">
        <v>19</v>
      </c>
      <c r="C163" t="s">
        <v>20</v>
      </c>
      <c r="D163" t="s">
        <v>18</v>
      </c>
      <c r="E163">
        <v>1369</v>
      </c>
      <c r="F163">
        <v>1.2</v>
      </c>
      <c r="G163">
        <v>1</v>
      </c>
      <c r="H163">
        <v>1642.8</v>
      </c>
      <c r="I163">
        <v>1369</v>
      </c>
      <c r="J163">
        <v>273.79999999999899</v>
      </c>
      <c r="K163" t="s">
        <v>40</v>
      </c>
    </row>
    <row r="164" spans="1:11" x14ac:dyDescent="0.2">
      <c r="A164" s="1">
        <v>45336</v>
      </c>
      <c r="B164" t="s">
        <v>13</v>
      </c>
      <c r="C164" t="s">
        <v>29</v>
      </c>
      <c r="D164" t="s">
        <v>12</v>
      </c>
      <c r="E164">
        <v>1514</v>
      </c>
      <c r="F164">
        <v>1.25</v>
      </c>
      <c r="G164">
        <v>1.05</v>
      </c>
      <c r="H164">
        <v>1892.5</v>
      </c>
      <c r="I164">
        <v>1589.7</v>
      </c>
      <c r="J164">
        <v>302.79999999999899</v>
      </c>
      <c r="K164" t="s">
        <v>36</v>
      </c>
    </row>
    <row r="165" spans="1:11" x14ac:dyDescent="0.2">
      <c r="A165" s="1">
        <v>45353</v>
      </c>
      <c r="B165" t="s">
        <v>13</v>
      </c>
      <c r="C165" t="s">
        <v>11</v>
      </c>
      <c r="D165" t="s">
        <v>18</v>
      </c>
      <c r="E165">
        <v>2411</v>
      </c>
      <c r="F165">
        <v>1.2</v>
      </c>
      <c r="G165">
        <v>1</v>
      </c>
      <c r="H165">
        <v>2893.2</v>
      </c>
      <c r="I165">
        <v>2411</v>
      </c>
      <c r="J165">
        <v>482.19999999999902</v>
      </c>
      <c r="K165" t="s">
        <v>37</v>
      </c>
    </row>
    <row r="166" spans="1:11" x14ac:dyDescent="0.2">
      <c r="A166" s="1">
        <v>45425</v>
      </c>
      <c r="B166" t="s">
        <v>26</v>
      </c>
      <c r="C166" t="s">
        <v>29</v>
      </c>
      <c r="D166" t="s">
        <v>18</v>
      </c>
      <c r="E166">
        <v>1102</v>
      </c>
      <c r="F166">
        <v>1.2</v>
      </c>
      <c r="G166">
        <v>1</v>
      </c>
      <c r="H166">
        <v>1322.3999999999901</v>
      </c>
      <c r="I166">
        <v>1102</v>
      </c>
      <c r="J166">
        <v>220.39999999999901</v>
      </c>
      <c r="K166" t="s">
        <v>39</v>
      </c>
    </row>
    <row r="167" spans="1:11" x14ac:dyDescent="0.2">
      <c r="A167" s="1">
        <v>45575</v>
      </c>
      <c r="B167" t="s">
        <v>16</v>
      </c>
      <c r="C167" t="s">
        <v>20</v>
      </c>
      <c r="D167" t="s">
        <v>18</v>
      </c>
      <c r="E167">
        <v>4321</v>
      </c>
      <c r="F167">
        <v>1.2</v>
      </c>
      <c r="G167">
        <v>1</v>
      </c>
      <c r="H167">
        <v>5185.2</v>
      </c>
      <c r="I167">
        <v>4321</v>
      </c>
      <c r="J167">
        <v>864.19999999999902</v>
      </c>
      <c r="K167" t="s">
        <v>44</v>
      </c>
    </row>
    <row r="168" spans="1:11" x14ac:dyDescent="0.2">
      <c r="A168" s="1">
        <v>45319</v>
      </c>
      <c r="B168" t="s">
        <v>16</v>
      </c>
      <c r="C168" t="s">
        <v>29</v>
      </c>
      <c r="D168" t="s">
        <v>12</v>
      </c>
      <c r="E168">
        <v>1190</v>
      </c>
      <c r="F168">
        <v>1.25</v>
      </c>
      <c r="G168">
        <v>1.05</v>
      </c>
      <c r="H168">
        <v>1487.5</v>
      </c>
      <c r="I168">
        <v>1249.5</v>
      </c>
      <c r="J168">
        <v>238</v>
      </c>
      <c r="K168" t="s">
        <v>35</v>
      </c>
    </row>
    <row r="169" spans="1:11" x14ac:dyDescent="0.2">
      <c r="A169" s="1">
        <v>45399</v>
      </c>
      <c r="B169" t="s">
        <v>27</v>
      </c>
      <c r="C169" t="s">
        <v>29</v>
      </c>
      <c r="D169" t="s">
        <v>12</v>
      </c>
      <c r="E169">
        <v>993</v>
      </c>
      <c r="F169">
        <v>1.25</v>
      </c>
      <c r="G169">
        <v>1.05</v>
      </c>
      <c r="H169">
        <v>1241.25</v>
      </c>
      <c r="I169">
        <v>1042.6500000000001</v>
      </c>
      <c r="J169">
        <v>198.599999999999</v>
      </c>
      <c r="K169" t="s">
        <v>38</v>
      </c>
    </row>
    <row r="170" spans="1:11" x14ac:dyDescent="0.2">
      <c r="A170" s="1">
        <v>45335</v>
      </c>
      <c r="B170" t="s">
        <v>13</v>
      </c>
      <c r="C170" t="s">
        <v>20</v>
      </c>
      <c r="D170" t="s">
        <v>12</v>
      </c>
      <c r="E170">
        <v>989</v>
      </c>
      <c r="F170">
        <v>1.25</v>
      </c>
      <c r="G170">
        <v>1.05</v>
      </c>
      <c r="H170">
        <v>1236.25</v>
      </c>
      <c r="I170">
        <v>1038.45</v>
      </c>
      <c r="J170">
        <v>197.79999999999899</v>
      </c>
      <c r="K170" t="s">
        <v>36</v>
      </c>
    </row>
    <row r="171" spans="1:11" x14ac:dyDescent="0.2">
      <c r="A171" s="1">
        <v>45631</v>
      </c>
      <c r="B171" t="s">
        <v>16</v>
      </c>
      <c r="C171" t="s">
        <v>29</v>
      </c>
      <c r="D171" t="s">
        <v>12</v>
      </c>
      <c r="E171">
        <v>3056</v>
      </c>
      <c r="F171">
        <v>1.25</v>
      </c>
      <c r="G171">
        <v>1.05</v>
      </c>
      <c r="H171">
        <v>3820</v>
      </c>
      <c r="I171">
        <v>3208.8</v>
      </c>
      <c r="J171">
        <v>611.19999999999902</v>
      </c>
      <c r="K171" t="s">
        <v>46</v>
      </c>
    </row>
    <row r="172" spans="1:11" x14ac:dyDescent="0.2">
      <c r="A172" s="1">
        <v>45577</v>
      </c>
      <c r="B172" t="s">
        <v>32</v>
      </c>
      <c r="C172" t="s">
        <v>17</v>
      </c>
      <c r="D172" t="s">
        <v>18</v>
      </c>
      <c r="E172">
        <v>4985</v>
      </c>
      <c r="F172">
        <v>1.2</v>
      </c>
      <c r="G172">
        <v>1</v>
      </c>
      <c r="H172">
        <v>5982</v>
      </c>
      <c r="I172">
        <v>4985</v>
      </c>
      <c r="J172">
        <v>997</v>
      </c>
      <c r="K172" t="s">
        <v>44</v>
      </c>
    </row>
    <row r="173" spans="1:11" x14ac:dyDescent="0.2">
      <c r="A173" s="1">
        <v>45622</v>
      </c>
      <c r="B173" t="s">
        <v>26</v>
      </c>
      <c r="C173" t="s">
        <v>17</v>
      </c>
      <c r="D173" t="s">
        <v>14</v>
      </c>
      <c r="E173">
        <v>794</v>
      </c>
      <c r="F173">
        <v>0.9</v>
      </c>
      <c r="G173">
        <v>0.7</v>
      </c>
      <c r="H173">
        <v>714.6</v>
      </c>
      <c r="I173">
        <v>555.79999999999995</v>
      </c>
      <c r="J173">
        <v>158.80000000000001</v>
      </c>
      <c r="K173" t="s">
        <v>45</v>
      </c>
    </row>
    <row r="174" spans="1:11" x14ac:dyDescent="0.2">
      <c r="A174" s="1">
        <v>45419</v>
      </c>
      <c r="B174" t="s">
        <v>25</v>
      </c>
      <c r="C174" t="s">
        <v>29</v>
      </c>
      <c r="D174" t="s">
        <v>14</v>
      </c>
      <c r="E174">
        <v>5988</v>
      </c>
      <c r="F174">
        <v>0.9</v>
      </c>
      <c r="G174">
        <v>0.7</v>
      </c>
      <c r="H174">
        <v>5389.2</v>
      </c>
      <c r="I174">
        <v>4191.5999999999904</v>
      </c>
      <c r="J174">
        <v>1197.5999999999999</v>
      </c>
      <c r="K174" t="s">
        <v>39</v>
      </c>
    </row>
    <row r="175" spans="1:11" x14ac:dyDescent="0.2">
      <c r="A175" s="1">
        <v>45639</v>
      </c>
      <c r="B175" t="s">
        <v>22</v>
      </c>
      <c r="C175" t="s">
        <v>11</v>
      </c>
      <c r="D175" t="s">
        <v>18</v>
      </c>
      <c r="E175">
        <v>4527</v>
      </c>
      <c r="F175">
        <v>1.2</v>
      </c>
      <c r="G175">
        <v>1</v>
      </c>
      <c r="H175">
        <v>5432.4</v>
      </c>
      <c r="I175">
        <v>4527</v>
      </c>
      <c r="J175">
        <v>905.39999999999895</v>
      </c>
      <c r="K175" t="s">
        <v>46</v>
      </c>
    </row>
    <row r="176" spans="1:11" x14ac:dyDescent="0.2">
      <c r="A176" s="1">
        <v>45522</v>
      </c>
      <c r="B176" t="s">
        <v>22</v>
      </c>
      <c r="C176" t="s">
        <v>20</v>
      </c>
      <c r="D176" t="s">
        <v>18</v>
      </c>
      <c r="E176">
        <v>3343</v>
      </c>
      <c r="F176">
        <v>1.2</v>
      </c>
      <c r="G176">
        <v>1</v>
      </c>
      <c r="H176">
        <v>4011.6</v>
      </c>
      <c r="I176">
        <v>3343</v>
      </c>
      <c r="J176">
        <v>668.599999999999</v>
      </c>
      <c r="K176" t="s">
        <v>42</v>
      </c>
    </row>
    <row r="177" spans="1:11" x14ac:dyDescent="0.2">
      <c r="A177" s="1">
        <v>45481</v>
      </c>
      <c r="B177" t="s">
        <v>25</v>
      </c>
      <c r="C177" t="s">
        <v>17</v>
      </c>
      <c r="D177" t="s">
        <v>18</v>
      </c>
      <c r="E177">
        <v>3412</v>
      </c>
      <c r="F177">
        <v>1.2</v>
      </c>
      <c r="G177">
        <v>1</v>
      </c>
      <c r="H177">
        <v>4094.3999999999901</v>
      </c>
      <c r="I177">
        <v>3412</v>
      </c>
      <c r="J177">
        <v>682.39999999999895</v>
      </c>
      <c r="K177" t="s">
        <v>41</v>
      </c>
    </row>
    <row r="178" spans="1:11" x14ac:dyDescent="0.2">
      <c r="A178" s="1">
        <v>45516</v>
      </c>
      <c r="B178" t="s">
        <v>28</v>
      </c>
      <c r="C178" t="s">
        <v>11</v>
      </c>
      <c r="D178" t="s">
        <v>12</v>
      </c>
      <c r="E178">
        <v>2217</v>
      </c>
      <c r="F178">
        <v>1.25</v>
      </c>
      <c r="G178">
        <v>1.05</v>
      </c>
      <c r="H178">
        <v>2771.25</v>
      </c>
      <c r="I178">
        <v>2327.85</v>
      </c>
      <c r="J178">
        <v>443.4</v>
      </c>
      <c r="K178" t="s">
        <v>42</v>
      </c>
    </row>
    <row r="179" spans="1:11" x14ac:dyDescent="0.2">
      <c r="A179" s="1">
        <v>45574</v>
      </c>
      <c r="B179" t="s">
        <v>10</v>
      </c>
      <c r="C179" t="s">
        <v>29</v>
      </c>
      <c r="D179" t="s">
        <v>14</v>
      </c>
      <c r="E179">
        <v>3096</v>
      </c>
      <c r="F179">
        <v>0.9</v>
      </c>
      <c r="G179">
        <v>0.7</v>
      </c>
      <c r="H179">
        <v>2786.4</v>
      </c>
      <c r="I179">
        <v>2167.1999999999998</v>
      </c>
      <c r="J179">
        <v>619.20000000000005</v>
      </c>
      <c r="K179" t="s">
        <v>44</v>
      </c>
    </row>
    <row r="180" spans="1:11" x14ac:dyDescent="0.2">
      <c r="A180" s="1">
        <v>45412</v>
      </c>
      <c r="B180" t="s">
        <v>26</v>
      </c>
      <c r="C180" t="s">
        <v>11</v>
      </c>
      <c r="D180" t="s">
        <v>18</v>
      </c>
      <c r="E180">
        <v>5244</v>
      </c>
      <c r="F180">
        <v>1.2</v>
      </c>
      <c r="G180">
        <v>1</v>
      </c>
      <c r="H180">
        <v>6292.8</v>
      </c>
      <c r="I180">
        <v>5244</v>
      </c>
      <c r="J180">
        <v>1048.8</v>
      </c>
      <c r="K180" t="s">
        <v>38</v>
      </c>
    </row>
    <row r="181" spans="1:11" x14ac:dyDescent="0.2">
      <c r="A181" s="1">
        <v>45407</v>
      </c>
      <c r="B181" t="s">
        <v>32</v>
      </c>
      <c r="C181" t="s">
        <v>23</v>
      </c>
      <c r="D181" t="s">
        <v>18</v>
      </c>
      <c r="E181">
        <v>2373</v>
      </c>
      <c r="F181">
        <v>1.2</v>
      </c>
      <c r="G181">
        <v>1</v>
      </c>
      <c r="H181">
        <v>2847.6</v>
      </c>
      <c r="I181">
        <v>2373</v>
      </c>
      <c r="J181">
        <v>474.599999999999</v>
      </c>
      <c r="K181" t="s">
        <v>38</v>
      </c>
    </row>
    <row r="182" spans="1:11" x14ac:dyDescent="0.2">
      <c r="A182" s="1">
        <v>45524</v>
      </c>
      <c r="B182" t="s">
        <v>16</v>
      </c>
      <c r="C182" t="s">
        <v>17</v>
      </c>
      <c r="D182" t="s">
        <v>12</v>
      </c>
      <c r="E182">
        <v>5163</v>
      </c>
      <c r="F182">
        <v>1.25</v>
      </c>
      <c r="G182">
        <v>1.05</v>
      </c>
      <c r="H182">
        <v>6453.75</v>
      </c>
      <c r="I182">
        <v>5421.15</v>
      </c>
      <c r="J182">
        <v>1032.5999999999899</v>
      </c>
      <c r="K182" t="s">
        <v>42</v>
      </c>
    </row>
    <row r="183" spans="1:11" x14ac:dyDescent="0.2">
      <c r="A183" s="1">
        <v>45550</v>
      </c>
      <c r="B183" t="s">
        <v>30</v>
      </c>
      <c r="C183" t="s">
        <v>29</v>
      </c>
      <c r="D183" t="s">
        <v>12</v>
      </c>
      <c r="E183">
        <v>3758</v>
      </c>
      <c r="F183">
        <v>1.25</v>
      </c>
      <c r="G183">
        <v>1.05</v>
      </c>
      <c r="H183">
        <v>4697.5</v>
      </c>
      <c r="I183">
        <v>3945.9</v>
      </c>
      <c r="J183">
        <v>751.599999999999</v>
      </c>
      <c r="K183" t="s">
        <v>43</v>
      </c>
    </row>
    <row r="184" spans="1:11" x14ac:dyDescent="0.2">
      <c r="A184" s="1">
        <v>45650</v>
      </c>
      <c r="B184" t="s">
        <v>26</v>
      </c>
      <c r="C184" t="s">
        <v>20</v>
      </c>
      <c r="D184" t="s">
        <v>12</v>
      </c>
      <c r="E184">
        <v>3317</v>
      </c>
      <c r="F184">
        <v>1.25</v>
      </c>
      <c r="G184">
        <v>1.05</v>
      </c>
      <c r="H184">
        <v>4146.25</v>
      </c>
      <c r="I184">
        <v>3482.85</v>
      </c>
      <c r="J184">
        <v>663.39999999999895</v>
      </c>
      <c r="K184" t="s">
        <v>46</v>
      </c>
    </row>
    <row r="185" spans="1:11" x14ac:dyDescent="0.2">
      <c r="A185" s="1">
        <v>45489</v>
      </c>
      <c r="B185" t="s">
        <v>15</v>
      </c>
      <c r="C185" t="s">
        <v>29</v>
      </c>
      <c r="D185" t="s">
        <v>14</v>
      </c>
      <c r="E185">
        <v>944</v>
      </c>
      <c r="F185">
        <v>0.9</v>
      </c>
      <c r="G185">
        <v>0.7</v>
      </c>
      <c r="H185">
        <v>849.6</v>
      </c>
      <c r="I185">
        <v>660.8</v>
      </c>
      <c r="J185">
        <v>188.8</v>
      </c>
      <c r="K185" t="s">
        <v>41</v>
      </c>
    </row>
    <row r="186" spans="1:11" x14ac:dyDescent="0.2">
      <c r="A186" s="1">
        <v>45428</v>
      </c>
      <c r="B186" t="s">
        <v>25</v>
      </c>
      <c r="C186" t="s">
        <v>20</v>
      </c>
      <c r="D186" t="s">
        <v>18</v>
      </c>
      <c r="E186">
        <v>4141</v>
      </c>
      <c r="F186">
        <v>1.2</v>
      </c>
      <c r="G186">
        <v>1</v>
      </c>
      <c r="H186">
        <v>4969.2</v>
      </c>
      <c r="I186">
        <v>4141</v>
      </c>
      <c r="J186">
        <v>828.19999999999902</v>
      </c>
      <c r="K186" t="s">
        <v>39</v>
      </c>
    </row>
    <row r="187" spans="1:11" x14ac:dyDescent="0.2">
      <c r="A187" s="1">
        <v>45609</v>
      </c>
      <c r="B187" t="s">
        <v>32</v>
      </c>
      <c r="C187" t="s">
        <v>29</v>
      </c>
      <c r="D187" t="s">
        <v>12</v>
      </c>
      <c r="E187">
        <v>4958</v>
      </c>
      <c r="F187">
        <v>1.25</v>
      </c>
      <c r="G187">
        <v>1.05</v>
      </c>
      <c r="H187">
        <v>6197.5</v>
      </c>
      <c r="I187">
        <v>5205.8999999999996</v>
      </c>
      <c r="J187">
        <v>991.599999999999</v>
      </c>
      <c r="K187" t="s">
        <v>45</v>
      </c>
    </row>
    <row r="188" spans="1:11" x14ac:dyDescent="0.2">
      <c r="A188" s="1">
        <v>45456</v>
      </c>
      <c r="B188" t="s">
        <v>24</v>
      </c>
      <c r="C188" t="s">
        <v>11</v>
      </c>
      <c r="D188" t="s">
        <v>14</v>
      </c>
      <c r="E188">
        <v>5807</v>
      </c>
      <c r="F188">
        <v>0.9</v>
      </c>
      <c r="G188">
        <v>0.7</v>
      </c>
      <c r="H188">
        <v>5226.3</v>
      </c>
      <c r="I188">
        <v>4064.8999999999901</v>
      </c>
      <c r="J188">
        <v>1161.4000000000001</v>
      </c>
      <c r="K188" t="s">
        <v>40</v>
      </c>
    </row>
    <row r="189" spans="1:11" x14ac:dyDescent="0.2">
      <c r="A189" s="1">
        <v>45516</v>
      </c>
      <c r="B189" t="s">
        <v>31</v>
      </c>
      <c r="C189" t="s">
        <v>11</v>
      </c>
      <c r="D189" t="s">
        <v>12</v>
      </c>
      <c r="E189">
        <v>1241</v>
      </c>
      <c r="F189">
        <v>1.25</v>
      </c>
      <c r="G189">
        <v>1.05</v>
      </c>
      <c r="H189">
        <v>1551.25</v>
      </c>
      <c r="I189">
        <v>1303.05</v>
      </c>
      <c r="J189">
        <v>248.2</v>
      </c>
      <c r="K189" t="s">
        <v>42</v>
      </c>
    </row>
    <row r="190" spans="1:11" x14ac:dyDescent="0.2">
      <c r="A190" s="1">
        <v>45598</v>
      </c>
      <c r="B190" t="s">
        <v>21</v>
      </c>
      <c r="C190" t="s">
        <v>11</v>
      </c>
      <c r="D190" t="s">
        <v>12</v>
      </c>
      <c r="E190">
        <v>2541</v>
      </c>
      <c r="F190">
        <v>1.25</v>
      </c>
      <c r="G190">
        <v>1.05</v>
      </c>
      <c r="H190">
        <v>3176.25</v>
      </c>
      <c r="I190">
        <v>2668.05</v>
      </c>
      <c r="J190">
        <v>508.19999999999902</v>
      </c>
      <c r="K190" t="s">
        <v>45</v>
      </c>
    </row>
    <row r="191" spans="1:11" x14ac:dyDescent="0.2">
      <c r="A191" s="1">
        <v>45525</v>
      </c>
      <c r="B191" t="s">
        <v>10</v>
      </c>
      <c r="C191" t="s">
        <v>23</v>
      </c>
      <c r="D191" t="s">
        <v>12</v>
      </c>
      <c r="E191">
        <v>1179</v>
      </c>
      <c r="F191">
        <v>1.25</v>
      </c>
      <c r="G191">
        <v>1.05</v>
      </c>
      <c r="H191">
        <v>1473.75</v>
      </c>
      <c r="I191">
        <v>1237.95</v>
      </c>
      <c r="J191">
        <v>235.79999999999899</v>
      </c>
      <c r="K191" t="s">
        <v>42</v>
      </c>
    </row>
    <row r="192" spans="1:11" x14ac:dyDescent="0.2">
      <c r="A192" s="1">
        <v>45463</v>
      </c>
      <c r="B192" t="s">
        <v>25</v>
      </c>
      <c r="C192" t="s">
        <v>20</v>
      </c>
      <c r="D192" t="s">
        <v>18</v>
      </c>
      <c r="E192">
        <v>2967</v>
      </c>
      <c r="F192">
        <v>1.2</v>
      </c>
      <c r="G192">
        <v>1</v>
      </c>
      <c r="H192">
        <v>3560.4</v>
      </c>
      <c r="I192">
        <v>2967</v>
      </c>
      <c r="J192">
        <v>593.4</v>
      </c>
      <c r="K192" t="s">
        <v>40</v>
      </c>
    </row>
    <row r="193" spans="1:11" x14ac:dyDescent="0.2">
      <c r="A193" s="1">
        <v>45443</v>
      </c>
      <c r="B193" t="s">
        <v>30</v>
      </c>
      <c r="C193" t="s">
        <v>11</v>
      </c>
      <c r="D193" t="s">
        <v>14</v>
      </c>
      <c r="E193">
        <v>4197</v>
      </c>
      <c r="F193">
        <v>0.9</v>
      </c>
      <c r="G193">
        <v>0.7</v>
      </c>
      <c r="H193">
        <v>3777.3</v>
      </c>
      <c r="I193">
        <v>2937.8999999999901</v>
      </c>
      <c r="J193">
        <v>839.4</v>
      </c>
      <c r="K193" t="s">
        <v>39</v>
      </c>
    </row>
    <row r="194" spans="1:11" x14ac:dyDescent="0.2">
      <c r="A194" s="1">
        <v>45606</v>
      </c>
      <c r="B194" t="s">
        <v>16</v>
      </c>
      <c r="C194" t="s">
        <v>23</v>
      </c>
      <c r="D194" t="s">
        <v>12</v>
      </c>
      <c r="E194">
        <v>1858</v>
      </c>
      <c r="F194">
        <v>1.25</v>
      </c>
      <c r="G194">
        <v>1.05</v>
      </c>
      <c r="H194">
        <v>2322.5</v>
      </c>
      <c r="I194">
        <v>1950.9</v>
      </c>
      <c r="J194">
        <v>371.599999999999</v>
      </c>
      <c r="K194" t="s">
        <v>45</v>
      </c>
    </row>
    <row r="195" spans="1:11" x14ac:dyDescent="0.2">
      <c r="A195" s="1">
        <v>45451</v>
      </c>
      <c r="B195" t="s">
        <v>30</v>
      </c>
      <c r="C195" t="s">
        <v>20</v>
      </c>
      <c r="D195" t="s">
        <v>14</v>
      </c>
      <c r="E195">
        <v>562</v>
      </c>
      <c r="F195">
        <v>0.9</v>
      </c>
      <c r="G195">
        <v>0.7</v>
      </c>
      <c r="H195">
        <v>505.8</v>
      </c>
      <c r="I195">
        <v>393.4</v>
      </c>
      <c r="J195">
        <v>112.4</v>
      </c>
      <c r="K195" t="s">
        <v>40</v>
      </c>
    </row>
    <row r="196" spans="1:11" x14ac:dyDescent="0.2">
      <c r="A196" s="1">
        <v>45387</v>
      </c>
      <c r="B196" t="s">
        <v>30</v>
      </c>
      <c r="C196" t="s">
        <v>29</v>
      </c>
      <c r="D196" t="s">
        <v>12</v>
      </c>
      <c r="E196">
        <v>3059</v>
      </c>
      <c r="F196">
        <v>1.25</v>
      </c>
      <c r="G196">
        <v>1.05</v>
      </c>
      <c r="H196">
        <v>3823.75</v>
      </c>
      <c r="I196">
        <v>3211.95</v>
      </c>
      <c r="J196">
        <v>611.79999999999905</v>
      </c>
      <c r="K196" t="s">
        <v>38</v>
      </c>
    </row>
    <row r="197" spans="1:11" x14ac:dyDescent="0.2">
      <c r="A197" s="1">
        <v>45524</v>
      </c>
      <c r="B197" t="s">
        <v>13</v>
      </c>
      <c r="C197" t="s">
        <v>23</v>
      </c>
      <c r="D197" t="s">
        <v>14</v>
      </c>
      <c r="E197">
        <v>5758</v>
      </c>
      <c r="F197">
        <v>0.9</v>
      </c>
      <c r="G197">
        <v>0.7</v>
      </c>
      <c r="H197">
        <v>5182.2</v>
      </c>
      <c r="I197">
        <v>4030.6</v>
      </c>
      <c r="J197">
        <v>1151.5999999999999</v>
      </c>
      <c r="K197" t="s">
        <v>42</v>
      </c>
    </row>
    <row r="198" spans="1:11" x14ac:dyDescent="0.2">
      <c r="A198" s="1">
        <v>45471</v>
      </c>
      <c r="B198" t="s">
        <v>13</v>
      </c>
      <c r="C198" t="s">
        <v>17</v>
      </c>
      <c r="D198" t="s">
        <v>18</v>
      </c>
      <c r="E198">
        <v>4269</v>
      </c>
      <c r="F198">
        <v>1.2</v>
      </c>
      <c r="G198">
        <v>1</v>
      </c>
      <c r="H198">
        <v>5122.8</v>
      </c>
      <c r="I198">
        <v>4269</v>
      </c>
      <c r="J198">
        <v>853.8</v>
      </c>
      <c r="K198" t="s">
        <v>40</v>
      </c>
    </row>
    <row r="199" spans="1:11" x14ac:dyDescent="0.2">
      <c r="A199" s="1">
        <v>45404</v>
      </c>
      <c r="B199" t="s">
        <v>27</v>
      </c>
      <c r="C199" t="s">
        <v>23</v>
      </c>
      <c r="D199" t="s">
        <v>18</v>
      </c>
      <c r="E199">
        <v>5824</v>
      </c>
      <c r="F199">
        <v>1.2</v>
      </c>
      <c r="G199">
        <v>1</v>
      </c>
      <c r="H199">
        <v>6988.8</v>
      </c>
      <c r="I199">
        <v>5824</v>
      </c>
      <c r="J199">
        <v>1164.8</v>
      </c>
      <c r="K199" t="s">
        <v>38</v>
      </c>
    </row>
    <row r="200" spans="1:11" x14ac:dyDescent="0.2">
      <c r="A200" s="1">
        <v>45609</v>
      </c>
      <c r="B200" t="s">
        <v>25</v>
      </c>
      <c r="C200" t="s">
        <v>23</v>
      </c>
      <c r="D200" t="s">
        <v>12</v>
      </c>
      <c r="E200">
        <v>4851</v>
      </c>
      <c r="F200">
        <v>1.25</v>
      </c>
      <c r="G200">
        <v>1.05</v>
      </c>
      <c r="H200">
        <v>6063.75</v>
      </c>
      <c r="I200">
        <v>5093.55</v>
      </c>
      <c r="J200">
        <v>970.19999999999902</v>
      </c>
      <c r="K200" t="s">
        <v>45</v>
      </c>
    </row>
    <row r="201" spans="1:11" x14ac:dyDescent="0.2">
      <c r="A201" s="1">
        <v>45343</v>
      </c>
      <c r="B201" t="s">
        <v>27</v>
      </c>
      <c r="C201" t="s">
        <v>20</v>
      </c>
      <c r="D201" t="s">
        <v>14</v>
      </c>
      <c r="E201">
        <v>634</v>
      </c>
      <c r="F201">
        <v>0.9</v>
      </c>
      <c r="G201">
        <v>0.7</v>
      </c>
      <c r="H201">
        <v>570.6</v>
      </c>
      <c r="I201">
        <v>443.79999999999899</v>
      </c>
      <c r="J201">
        <v>126.8</v>
      </c>
      <c r="K201" t="s">
        <v>36</v>
      </c>
    </row>
    <row r="202" spans="1:11" x14ac:dyDescent="0.2">
      <c r="A202" s="1">
        <v>45559</v>
      </c>
      <c r="B202" t="s">
        <v>25</v>
      </c>
      <c r="C202" t="s">
        <v>29</v>
      </c>
      <c r="D202" t="s">
        <v>18</v>
      </c>
      <c r="E202">
        <v>4144</v>
      </c>
      <c r="F202">
        <v>1.2</v>
      </c>
      <c r="G202">
        <v>1</v>
      </c>
      <c r="H202">
        <v>4972.8</v>
      </c>
      <c r="I202">
        <v>4144</v>
      </c>
      <c r="J202">
        <v>828.8</v>
      </c>
      <c r="K202" t="s">
        <v>43</v>
      </c>
    </row>
    <row r="203" spans="1:11" x14ac:dyDescent="0.2">
      <c r="A203" s="1">
        <v>45586</v>
      </c>
      <c r="B203" t="s">
        <v>10</v>
      </c>
      <c r="C203" t="s">
        <v>17</v>
      </c>
      <c r="D203" t="s">
        <v>12</v>
      </c>
      <c r="E203">
        <v>5470</v>
      </c>
      <c r="F203">
        <v>1.25</v>
      </c>
      <c r="G203">
        <v>1.05</v>
      </c>
      <c r="H203">
        <v>6837.5</v>
      </c>
      <c r="I203">
        <v>5743.5</v>
      </c>
      <c r="J203">
        <v>1094</v>
      </c>
      <c r="K203" t="s">
        <v>44</v>
      </c>
    </row>
    <row r="204" spans="1:11" x14ac:dyDescent="0.2">
      <c r="A204" s="1">
        <v>45404</v>
      </c>
      <c r="B204" t="s">
        <v>26</v>
      </c>
      <c r="C204" t="s">
        <v>11</v>
      </c>
      <c r="D204" t="s">
        <v>18</v>
      </c>
      <c r="E204">
        <v>5417</v>
      </c>
      <c r="F204">
        <v>1.2</v>
      </c>
      <c r="G204">
        <v>1</v>
      </c>
      <c r="H204">
        <v>6500.4</v>
      </c>
      <c r="I204">
        <v>5417</v>
      </c>
      <c r="J204">
        <v>1083.3999999999901</v>
      </c>
      <c r="K204" t="s">
        <v>38</v>
      </c>
    </row>
    <row r="205" spans="1:11" x14ac:dyDescent="0.2">
      <c r="A205" s="1">
        <v>45392</v>
      </c>
      <c r="B205" t="s">
        <v>21</v>
      </c>
      <c r="C205" t="s">
        <v>11</v>
      </c>
      <c r="D205" t="s">
        <v>12</v>
      </c>
      <c r="E205">
        <v>2635</v>
      </c>
      <c r="F205">
        <v>1.25</v>
      </c>
      <c r="G205">
        <v>1.05</v>
      </c>
      <c r="H205">
        <v>3293.75</v>
      </c>
      <c r="I205">
        <v>2766.75</v>
      </c>
      <c r="J205">
        <v>527</v>
      </c>
      <c r="K205" t="s">
        <v>38</v>
      </c>
    </row>
    <row r="206" spans="1:11" x14ac:dyDescent="0.2">
      <c r="A206" s="1">
        <v>45404</v>
      </c>
      <c r="B206" t="s">
        <v>30</v>
      </c>
      <c r="C206" t="s">
        <v>23</v>
      </c>
      <c r="D206" t="s">
        <v>14</v>
      </c>
      <c r="E206">
        <v>3778</v>
      </c>
      <c r="F206">
        <v>0.9</v>
      </c>
      <c r="G206">
        <v>0.7</v>
      </c>
      <c r="H206">
        <v>3400.2</v>
      </c>
      <c r="I206">
        <v>2644.6</v>
      </c>
      <c r="J206">
        <v>755.6</v>
      </c>
      <c r="K206" t="s">
        <v>38</v>
      </c>
    </row>
    <row r="207" spans="1:11" x14ac:dyDescent="0.2">
      <c r="A207" s="1">
        <v>45372</v>
      </c>
      <c r="B207" t="s">
        <v>10</v>
      </c>
      <c r="C207" t="s">
        <v>20</v>
      </c>
      <c r="D207" t="s">
        <v>12</v>
      </c>
      <c r="E207">
        <v>1322</v>
      </c>
      <c r="F207">
        <v>1.25</v>
      </c>
      <c r="G207">
        <v>1.05</v>
      </c>
      <c r="H207">
        <v>1652.5</v>
      </c>
      <c r="I207">
        <v>1388.1</v>
      </c>
      <c r="J207">
        <v>264.39999999999901</v>
      </c>
      <c r="K207" t="s">
        <v>37</v>
      </c>
    </row>
    <row r="208" spans="1:11" x14ac:dyDescent="0.2">
      <c r="A208" s="1">
        <v>45478</v>
      </c>
      <c r="B208" t="s">
        <v>26</v>
      </c>
      <c r="C208" t="s">
        <v>20</v>
      </c>
      <c r="D208" t="s">
        <v>18</v>
      </c>
      <c r="E208">
        <v>3574</v>
      </c>
      <c r="F208">
        <v>1.2</v>
      </c>
      <c r="G208">
        <v>1</v>
      </c>
      <c r="H208">
        <v>4288.8</v>
      </c>
      <c r="I208">
        <v>3574</v>
      </c>
      <c r="J208">
        <v>714.8</v>
      </c>
      <c r="K208" t="s">
        <v>41</v>
      </c>
    </row>
    <row r="209" spans="1:11" x14ac:dyDescent="0.2">
      <c r="A209" s="1">
        <v>45404</v>
      </c>
      <c r="B209" t="s">
        <v>31</v>
      </c>
      <c r="C209" t="s">
        <v>11</v>
      </c>
      <c r="D209" t="s">
        <v>18</v>
      </c>
      <c r="E209">
        <v>5569</v>
      </c>
      <c r="F209">
        <v>1.2</v>
      </c>
      <c r="G209">
        <v>1</v>
      </c>
      <c r="H209">
        <v>6682.8</v>
      </c>
      <c r="I209">
        <v>5569</v>
      </c>
      <c r="J209">
        <v>1113.8</v>
      </c>
      <c r="K209" t="s">
        <v>38</v>
      </c>
    </row>
    <row r="210" spans="1:11" x14ac:dyDescent="0.2">
      <c r="A210" s="1">
        <v>45293</v>
      </c>
      <c r="B210" t="s">
        <v>22</v>
      </c>
      <c r="C210" t="s">
        <v>17</v>
      </c>
      <c r="D210" t="s">
        <v>12</v>
      </c>
      <c r="E210">
        <v>3481</v>
      </c>
      <c r="F210">
        <v>1.25</v>
      </c>
      <c r="G210">
        <v>1.05</v>
      </c>
      <c r="H210">
        <v>4351.25</v>
      </c>
      <c r="I210">
        <v>3655.05</v>
      </c>
      <c r="J210">
        <v>696.19999999999902</v>
      </c>
      <c r="K210" t="s">
        <v>35</v>
      </c>
    </row>
    <row r="211" spans="1:11" x14ac:dyDescent="0.2">
      <c r="A211" s="1">
        <v>45421</v>
      </c>
      <c r="B211" t="s">
        <v>19</v>
      </c>
      <c r="C211" t="s">
        <v>29</v>
      </c>
      <c r="D211" t="s">
        <v>12</v>
      </c>
      <c r="E211">
        <v>620</v>
      </c>
      <c r="F211">
        <v>1.25</v>
      </c>
      <c r="G211">
        <v>1.05</v>
      </c>
      <c r="H211">
        <v>775</v>
      </c>
      <c r="I211">
        <v>651</v>
      </c>
      <c r="J211">
        <v>124</v>
      </c>
      <c r="K211" t="s">
        <v>39</v>
      </c>
    </row>
    <row r="212" spans="1:11" x14ac:dyDescent="0.2">
      <c r="A212" s="1">
        <v>45511</v>
      </c>
      <c r="B212" t="s">
        <v>15</v>
      </c>
      <c r="C212" t="s">
        <v>17</v>
      </c>
      <c r="D212" t="s">
        <v>12</v>
      </c>
      <c r="E212">
        <v>2137</v>
      </c>
      <c r="F212">
        <v>1.25</v>
      </c>
      <c r="G212">
        <v>1.05</v>
      </c>
      <c r="H212">
        <v>2671.25</v>
      </c>
      <c r="I212">
        <v>2243.85</v>
      </c>
      <c r="J212">
        <v>427.4</v>
      </c>
      <c r="K212" t="s">
        <v>42</v>
      </c>
    </row>
    <row r="213" spans="1:11" x14ac:dyDescent="0.2">
      <c r="A213" s="1">
        <v>45345</v>
      </c>
      <c r="B213" t="s">
        <v>32</v>
      </c>
      <c r="C213" t="s">
        <v>29</v>
      </c>
      <c r="D213" t="s">
        <v>12</v>
      </c>
      <c r="E213">
        <v>5960</v>
      </c>
      <c r="F213">
        <v>1.25</v>
      </c>
      <c r="G213">
        <v>1.05</v>
      </c>
      <c r="H213">
        <v>7450</v>
      </c>
      <c r="I213">
        <v>6258</v>
      </c>
      <c r="J213">
        <v>1192</v>
      </c>
      <c r="K213" t="s">
        <v>36</v>
      </c>
    </row>
    <row r="214" spans="1:11" x14ac:dyDescent="0.2">
      <c r="A214" s="1">
        <v>45634</v>
      </c>
      <c r="B214" t="s">
        <v>25</v>
      </c>
      <c r="C214" t="s">
        <v>11</v>
      </c>
      <c r="D214" t="s">
        <v>12</v>
      </c>
      <c r="E214">
        <v>5603</v>
      </c>
      <c r="F214">
        <v>1.25</v>
      </c>
      <c r="G214">
        <v>1.05</v>
      </c>
      <c r="H214">
        <v>7003.75</v>
      </c>
      <c r="I214">
        <v>5883.15</v>
      </c>
      <c r="J214">
        <v>1120.5999999999899</v>
      </c>
      <c r="K214" t="s">
        <v>46</v>
      </c>
    </row>
    <row r="215" spans="1:11" x14ac:dyDescent="0.2">
      <c r="A215" s="1">
        <v>45515</v>
      </c>
      <c r="B215" t="s">
        <v>31</v>
      </c>
      <c r="C215" t="s">
        <v>29</v>
      </c>
      <c r="D215" t="s">
        <v>18</v>
      </c>
      <c r="E215">
        <v>1424</v>
      </c>
      <c r="F215">
        <v>1.2</v>
      </c>
      <c r="G215">
        <v>1</v>
      </c>
      <c r="H215">
        <v>1708.8</v>
      </c>
      <c r="I215">
        <v>1424</v>
      </c>
      <c r="J215">
        <v>284.79999999999899</v>
      </c>
      <c r="K215" t="s">
        <v>42</v>
      </c>
    </row>
    <row r="216" spans="1:11" x14ac:dyDescent="0.2">
      <c r="A216" s="1">
        <v>45516</v>
      </c>
      <c r="B216" t="s">
        <v>22</v>
      </c>
      <c r="C216" t="s">
        <v>20</v>
      </c>
      <c r="D216" t="s">
        <v>12</v>
      </c>
      <c r="E216">
        <v>1144</v>
      </c>
      <c r="F216">
        <v>1.25</v>
      </c>
      <c r="G216">
        <v>1.05</v>
      </c>
      <c r="H216">
        <v>1430</v>
      </c>
      <c r="I216">
        <v>1201.2</v>
      </c>
      <c r="J216">
        <v>228.79999999999899</v>
      </c>
      <c r="K216" t="s">
        <v>42</v>
      </c>
    </row>
    <row r="217" spans="1:11" x14ac:dyDescent="0.2">
      <c r="A217" s="1">
        <v>45417</v>
      </c>
      <c r="B217" t="s">
        <v>16</v>
      </c>
      <c r="C217" t="s">
        <v>23</v>
      </c>
      <c r="D217" t="s">
        <v>12</v>
      </c>
      <c r="E217">
        <v>2532</v>
      </c>
      <c r="F217">
        <v>1.25</v>
      </c>
      <c r="G217">
        <v>1.05</v>
      </c>
      <c r="H217">
        <v>3165</v>
      </c>
      <c r="I217">
        <v>2658.6</v>
      </c>
      <c r="J217">
        <v>506.4</v>
      </c>
      <c r="K217" t="s">
        <v>39</v>
      </c>
    </row>
    <row r="218" spans="1:11" x14ac:dyDescent="0.2">
      <c r="A218" s="1">
        <v>45421</v>
      </c>
      <c r="B218" t="s">
        <v>28</v>
      </c>
      <c r="C218" t="s">
        <v>23</v>
      </c>
      <c r="D218" t="s">
        <v>18</v>
      </c>
      <c r="E218">
        <v>3261</v>
      </c>
      <c r="F218">
        <v>1.2</v>
      </c>
      <c r="G218">
        <v>1</v>
      </c>
      <c r="H218">
        <v>3913.2</v>
      </c>
      <c r="I218">
        <v>3261</v>
      </c>
      <c r="J218">
        <v>652.19999999999902</v>
      </c>
      <c r="K218" t="s">
        <v>39</v>
      </c>
    </row>
    <row r="219" spans="1:11" x14ac:dyDescent="0.2">
      <c r="A219" s="1">
        <v>45344</v>
      </c>
      <c r="B219" t="s">
        <v>21</v>
      </c>
      <c r="C219" t="s">
        <v>11</v>
      </c>
      <c r="D219" t="s">
        <v>12</v>
      </c>
      <c r="E219">
        <v>2568</v>
      </c>
      <c r="F219">
        <v>1.25</v>
      </c>
      <c r="G219">
        <v>1.05</v>
      </c>
      <c r="H219">
        <v>3210</v>
      </c>
      <c r="I219">
        <v>2696.4</v>
      </c>
      <c r="J219">
        <v>513.599999999999</v>
      </c>
      <c r="K219" t="s">
        <v>36</v>
      </c>
    </row>
    <row r="220" spans="1:11" x14ac:dyDescent="0.2">
      <c r="A220" s="1">
        <v>45463</v>
      </c>
      <c r="B220" t="s">
        <v>32</v>
      </c>
      <c r="C220" t="s">
        <v>20</v>
      </c>
      <c r="D220" t="s">
        <v>14</v>
      </c>
      <c r="E220">
        <v>741</v>
      </c>
      <c r="F220">
        <v>0.9</v>
      </c>
      <c r="G220">
        <v>0.7</v>
      </c>
      <c r="H220">
        <v>666.9</v>
      </c>
      <c r="I220">
        <v>518.69999999999902</v>
      </c>
      <c r="J220">
        <v>148.19999999999999</v>
      </c>
      <c r="K220" t="s">
        <v>40</v>
      </c>
    </row>
    <row r="221" spans="1:11" x14ac:dyDescent="0.2">
      <c r="A221" s="1">
        <v>45509</v>
      </c>
      <c r="B221" t="s">
        <v>27</v>
      </c>
      <c r="C221" t="s">
        <v>17</v>
      </c>
      <c r="D221" t="s">
        <v>14</v>
      </c>
      <c r="E221">
        <v>3168</v>
      </c>
      <c r="F221">
        <v>0.9</v>
      </c>
      <c r="G221">
        <v>0.7</v>
      </c>
      <c r="H221">
        <v>2851.2</v>
      </c>
      <c r="I221">
        <v>2217.6</v>
      </c>
      <c r="J221">
        <v>633.6</v>
      </c>
      <c r="K221" t="s">
        <v>42</v>
      </c>
    </row>
    <row r="222" spans="1:11" x14ac:dyDescent="0.2">
      <c r="A222" s="1">
        <v>45451</v>
      </c>
      <c r="B222" t="s">
        <v>27</v>
      </c>
      <c r="C222" t="s">
        <v>20</v>
      </c>
      <c r="D222" t="s">
        <v>18</v>
      </c>
      <c r="E222">
        <v>1302</v>
      </c>
      <c r="F222">
        <v>1.2</v>
      </c>
      <c r="G222">
        <v>1</v>
      </c>
      <c r="H222">
        <v>1562.3999999999901</v>
      </c>
      <c r="I222">
        <v>1302</v>
      </c>
      <c r="J222">
        <v>260.39999999999901</v>
      </c>
      <c r="K222" t="s">
        <v>40</v>
      </c>
    </row>
    <row r="223" spans="1:11" x14ac:dyDescent="0.2">
      <c r="A223" s="1">
        <v>45489</v>
      </c>
      <c r="B223" t="s">
        <v>26</v>
      </c>
      <c r="C223" t="s">
        <v>23</v>
      </c>
      <c r="D223" t="s">
        <v>18</v>
      </c>
      <c r="E223">
        <v>5559</v>
      </c>
      <c r="F223">
        <v>1.2</v>
      </c>
      <c r="G223">
        <v>1</v>
      </c>
      <c r="H223">
        <v>6670.8</v>
      </c>
      <c r="I223">
        <v>5559</v>
      </c>
      <c r="J223">
        <v>1111.8</v>
      </c>
      <c r="K223" t="s">
        <v>41</v>
      </c>
    </row>
    <row r="224" spans="1:11" x14ac:dyDescent="0.2">
      <c r="A224" s="1">
        <v>45538</v>
      </c>
      <c r="B224" t="s">
        <v>32</v>
      </c>
      <c r="C224" t="s">
        <v>23</v>
      </c>
      <c r="D224" t="s">
        <v>14</v>
      </c>
      <c r="E224">
        <v>4664</v>
      </c>
      <c r="F224">
        <v>0.9</v>
      </c>
      <c r="G224">
        <v>0.7</v>
      </c>
      <c r="H224">
        <v>4197.6000000000004</v>
      </c>
      <c r="I224">
        <v>3264.7999999999902</v>
      </c>
      <c r="J224">
        <v>932.8</v>
      </c>
      <c r="K224" t="s">
        <v>43</v>
      </c>
    </row>
    <row r="225" spans="1:11" x14ac:dyDescent="0.2">
      <c r="A225" s="1">
        <v>45615</v>
      </c>
      <c r="B225" t="s">
        <v>13</v>
      </c>
      <c r="C225" t="s">
        <v>20</v>
      </c>
      <c r="D225" t="s">
        <v>12</v>
      </c>
      <c r="E225">
        <v>5748</v>
      </c>
      <c r="F225">
        <v>1.25</v>
      </c>
      <c r="G225">
        <v>1.05</v>
      </c>
      <c r="H225">
        <v>7185</v>
      </c>
      <c r="I225">
        <v>6035.4</v>
      </c>
      <c r="J225">
        <v>1149.5999999999899</v>
      </c>
      <c r="K225" t="s">
        <v>45</v>
      </c>
    </row>
    <row r="226" spans="1:11" x14ac:dyDescent="0.2">
      <c r="A226" s="1">
        <v>45494</v>
      </c>
      <c r="B226" t="s">
        <v>22</v>
      </c>
      <c r="C226" t="s">
        <v>20</v>
      </c>
      <c r="D226" t="s">
        <v>12</v>
      </c>
      <c r="E226">
        <v>695</v>
      </c>
      <c r="F226">
        <v>1.25</v>
      </c>
      <c r="G226">
        <v>1.05</v>
      </c>
      <c r="H226">
        <v>868.75</v>
      </c>
      <c r="I226">
        <v>729.75</v>
      </c>
      <c r="J226">
        <v>139</v>
      </c>
      <c r="K226" t="s">
        <v>41</v>
      </c>
    </row>
    <row r="227" spans="1:11" x14ac:dyDescent="0.2">
      <c r="A227" s="1">
        <v>45475</v>
      </c>
      <c r="B227" t="s">
        <v>28</v>
      </c>
      <c r="C227" t="s">
        <v>23</v>
      </c>
      <c r="D227" t="s">
        <v>12</v>
      </c>
      <c r="E227">
        <v>2687</v>
      </c>
      <c r="F227">
        <v>1.25</v>
      </c>
      <c r="G227">
        <v>1.05</v>
      </c>
      <c r="H227">
        <v>3358.75</v>
      </c>
      <c r="I227">
        <v>2821.35</v>
      </c>
      <c r="J227">
        <v>537.4</v>
      </c>
      <c r="K227" t="s">
        <v>41</v>
      </c>
    </row>
    <row r="228" spans="1:11" x14ac:dyDescent="0.2">
      <c r="A228" s="1">
        <v>45414</v>
      </c>
      <c r="B228" t="s">
        <v>31</v>
      </c>
      <c r="C228" t="s">
        <v>17</v>
      </c>
      <c r="D228" t="s">
        <v>18</v>
      </c>
      <c r="E228">
        <v>4015</v>
      </c>
      <c r="F228">
        <v>1.2</v>
      </c>
      <c r="G228">
        <v>1</v>
      </c>
      <c r="H228">
        <v>4818</v>
      </c>
      <c r="I228">
        <v>4015</v>
      </c>
      <c r="J228">
        <v>803</v>
      </c>
      <c r="K228" t="s">
        <v>39</v>
      </c>
    </row>
    <row r="229" spans="1:11" x14ac:dyDescent="0.2">
      <c r="A229" s="1">
        <v>45546</v>
      </c>
      <c r="B229" t="s">
        <v>21</v>
      </c>
      <c r="C229" t="s">
        <v>11</v>
      </c>
      <c r="D229" t="s">
        <v>12</v>
      </c>
      <c r="E229">
        <v>2830</v>
      </c>
      <c r="F229">
        <v>1.25</v>
      </c>
      <c r="G229">
        <v>1.05</v>
      </c>
      <c r="H229">
        <v>3537.5</v>
      </c>
      <c r="I229">
        <v>2971.5</v>
      </c>
      <c r="J229">
        <v>566</v>
      </c>
      <c r="K229" t="s">
        <v>43</v>
      </c>
    </row>
    <row r="230" spans="1:11" x14ac:dyDescent="0.2">
      <c r="A230" s="1">
        <v>45585</v>
      </c>
      <c r="B230" t="s">
        <v>10</v>
      </c>
      <c r="C230" t="s">
        <v>11</v>
      </c>
      <c r="D230" t="s">
        <v>18</v>
      </c>
      <c r="E230">
        <v>2859</v>
      </c>
      <c r="F230">
        <v>1.2</v>
      </c>
      <c r="G230">
        <v>1</v>
      </c>
      <c r="H230">
        <v>3430.7999999999902</v>
      </c>
      <c r="I230">
        <v>2859</v>
      </c>
      <c r="J230">
        <v>571.79999999999905</v>
      </c>
      <c r="K230" t="s">
        <v>44</v>
      </c>
    </row>
    <row r="231" spans="1:11" x14ac:dyDescent="0.2">
      <c r="A231" s="1">
        <v>45571</v>
      </c>
      <c r="B231" t="s">
        <v>22</v>
      </c>
      <c r="C231" t="s">
        <v>20</v>
      </c>
      <c r="D231" t="s">
        <v>14</v>
      </c>
      <c r="E231">
        <v>5341</v>
      </c>
      <c r="F231">
        <v>0.9</v>
      </c>
      <c r="G231">
        <v>0.7</v>
      </c>
      <c r="H231">
        <v>4806.8999999999996</v>
      </c>
      <c r="I231">
        <v>3738.7</v>
      </c>
      <c r="J231">
        <v>1068.2</v>
      </c>
      <c r="K231" t="s">
        <v>44</v>
      </c>
    </row>
    <row r="232" spans="1:11" x14ac:dyDescent="0.2">
      <c r="A232" s="1">
        <v>45616</v>
      </c>
      <c r="B232" t="s">
        <v>28</v>
      </c>
      <c r="C232" t="s">
        <v>11</v>
      </c>
      <c r="D232" t="s">
        <v>14</v>
      </c>
      <c r="E232">
        <v>4106</v>
      </c>
      <c r="F232">
        <v>0.9</v>
      </c>
      <c r="G232">
        <v>0.7</v>
      </c>
      <c r="H232">
        <v>3695.4</v>
      </c>
      <c r="I232">
        <v>2874.2</v>
      </c>
      <c r="J232">
        <v>821.2</v>
      </c>
      <c r="K232" t="s">
        <v>45</v>
      </c>
    </row>
    <row r="233" spans="1:11" x14ac:dyDescent="0.2">
      <c r="A233" s="1">
        <v>45389</v>
      </c>
      <c r="B233" t="s">
        <v>19</v>
      </c>
      <c r="C233" t="s">
        <v>23</v>
      </c>
      <c r="D233" t="s">
        <v>18</v>
      </c>
      <c r="E233">
        <v>776</v>
      </c>
      <c r="F233">
        <v>1.2</v>
      </c>
      <c r="G233">
        <v>1</v>
      </c>
      <c r="H233">
        <v>931.19999999999902</v>
      </c>
      <c r="I233">
        <v>776</v>
      </c>
      <c r="J233">
        <v>155.19999999999899</v>
      </c>
      <c r="K233" t="s">
        <v>38</v>
      </c>
    </row>
    <row r="234" spans="1:11" x14ac:dyDescent="0.2">
      <c r="A234" s="1">
        <v>45489</v>
      </c>
      <c r="B234" t="s">
        <v>25</v>
      </c>
      <c r="C234" t="s">
        <v>23</v>
      </c>
      <c r="D234" t="s">
        <v>12</v>
      </c>
      <c r="E234">
        <v>560</v>
      </c>
      <c r="F234">
        <v>1.25</v>
      </c>
      <c r="G234">
        <v>1.05</v>
      </c>
      <c r="H234">
        <v>700</v>
      </c>
      <c r="I234">
        <v>588</v>
      </c>
      <c r="J234">
        <v>112</v>
      </c>
      <c r="K234" t="s">
        <v>41</v>
      </c>
    </row>
    <row r="235" spans="1:11" x14ac:dyDescent="0.2">
      <c r="A235" s="1">
        <v>45531</v>
      </c>
      <c r="B235" t="s">
        <v>10</v>
      </c>
      <c r="C235" t="s">
        <v>20</v>
      </c>
      <c r="D235" t="s">
        <v>18</v>
      </c>
      <c r="E235">
        <v>3890</v>
      </c>
      <c r="F235">
        <v>1.2</v>
      </c>
      <c r="G235">
        <v>1</v>
      </c>
      <c r="H235">
        <v>4668</v>
      </c>
      <c r="I235">
        <v>3890</v>
      </c>
      <c r="J235">
        <v>778</v>
      </c>
      <c r="K235" t="s">
        <v>42</v>
      </c>
    </row>
    <row r="236" spans="1:11" x14ac:dyDescent="0.2">
      <c r="A236" s="1">
        <v>45435</v>
      </c>
      <c r="B236" t="s">
        <v>27</v>
      </c>
      <c r="C236" t="s">
        <v>20</v>
      </c>
      <c r="D236" t="s">
        <v>18</v>
      </c>
      <c r="E236">
        <v>2413</v>
      </c>
      <c r="F236">
        <v>1.2</v>
      </c>
      <c r="G236">
        <v>1</v>
      </c>
      <c r="H236">
        <v>2895.6</v>
      </c>
      <c r="I236">
        <v>2413</v>
      </c>
      <c r="J236">
        <v>482.599999999999</v>
      </c>
      <c r="K236" t="s">
        <v>39</v>
      </c>
    </row>
    <row r="237" spans="1:11" x14ac:dyDescent="0.2">
      <c r="A237" s="1">
        <v>45388</v>
      </c>
      <c r="B237" t="s">
        <v>10</v>
      </c>
      <c r="C237" t="s">
        <v>20</v>
      </c>
      <c r="D237" t="s">
        <v>12</v>
      </c>
      <c r="E237">
        <v>4427</v>
      </c>
      <c r="F237">
        <v>1.25</v>
      </c>
      <c r="G237">
        <v>1.05</v>
      </c>
      <c r="H237">
        <v>5533.75</v>
      </c>
      <c r="I237">
        <v>4648.3500000000004</v>
      </c>
      <c r="J237">
        <v>885.39999999999895</v>
      </c>
      <c r="K237" t="s">
        <v>38</v>
      </c>
    </row>
    <row r="238" spans="1:11" x14ac:dyDescent="0.2">
      <c r="A238" s="1">
        <v>45492</v>
      </c>
      <c r="B238" t="s">
        <v>31</v>
      </c>
      <c r="C238" t="s">
        <v>17</v>
      </c>
      <c r="D238" t="s">
        <v>12</v>
      </c>
      <c r="E238">
        <v>5930</v>
      </c>
      <c r="F238">
        <v>1.25</v>
      </c>
      <c r="G238">
        <v>1.05</v>
      </c>
      <c r="H238">
        <v>7412.5</v>
      </c>
      <c r="I238">
        <v>6226.5</v>
      </c>
      <c r="J238">
        <v>1186</v>
      </c>
      <c r="K238" t="s">
        <v>41</v>
      </c>
    </row>
    <row r="239" spans="1:11" x14ac:dyDescent="0.2">
      <c r="A239" s="1">
        <v>45415</v>
      </c>
      <c r="B239" t="s">
        <v>27</v>
      </c>
      <c r="C239" t="s">
        <v>11</v>
      </c>
      <c r="D239" t="s">
        <v>14</v>
      </c>
      <c r="E239">
        <v>3091</v>
      </c>
      <c r="F239">
        <v>0.9</v>
      </c>
      <c r="G239">
        <v>0.7</v>
      </c>
      <c r="H239">
        <v>2781.9</v>
      </c>
      <c r="I239">
        <v>2163.6999999999998</v>
      </c>
      <c r="J239">
        <v>618.20000000000005</v>
      </c>
      <c r="K239" t="s">
        <v>39</v>
      </c>
    </row>
    <row r="240" spans="1:11" x14ac:dyDescent="0.2">
      <c r="A240" s="1">
        <v>45478</v>
      </c>
      <c r="B240" t="s">
        <v>31</v>
      </c>
      <c r="C240" t="s">
        <v>20</v>
      </c>
      <c r="D240" t="s">
        <v>18</v>
      </c>
      <c r="E240">
        <v>1066</v>
      </c>
      <c r="F240">
        <v>1.2</v>
      </c>
      <c r="G240">
        <v>1</v>
      </c>
      <c r="H240">
        <v>1279.2</v>
      </c>
      <c r="I240">
        <v>1066</v>
      </c>
      <c r="J240">
        <v>213.2</v>
      </c>
      <c r="K240" t="s">
        <v>41</v>
      </c>
    </row>
    <row r="241" spans="1:11" x14ac:dyDescent="0.2">
      <c r="A241" s="1">
        <v>45617</v>
      </c>
      <c r="B241" t="s">
        <v>26</v>
      </c>
      <c r="C241" t="s">
        <v>29</v>
      </c>
      <c r="D241" t="s">
        <v>18</v>
      </c>
      <c r="E241">
        <v>4435</v>
      </c>
      <c r="F241">
        <v>1.2</v>
      </c>
      <c r="G241">
        <v>1</v>
      </c>
      <c r="H241">
        <v>5322</v>
      </c>
      <c r="I241">
        <v>4435</v>
      </c>
      <c r="J241">
        <v>887</v>
      </c>
      <c r="K241" t="s">
        <v>45</v>
      </c>
    </row>
    <row r="242" spans="1:11" x14ac:dyDescent="0.2">
      <c r="A242" s="1">
        <v>45640</v>
      </c>
      <c r="B242" t="s">
        <v>13</v>
      </c>
      <c r="C242" t="s">
        <v>29</v>
      </c>
      <c r="D242" t="s">
        <v>14</v>
      </c>
      <c r="E242">
        <v>2071</v>
      </c>
      <c r="F242">
        <v>0.9</v>
      </c>
      <c r="G242">
        <v>0.7</v>
      </c>
      <c r="H242">
        <v>1863.9</v>
      </c>
      <c r="I242">
        <v>1449.69999999999</v>
      </c>
      <c r="J242">
        <v>414.2</v>
      </c>
      <c r="K242" t="s">
        <v>46</v>
      </c>
    </row>
    <row r="243" spans="1:11" x14ac:dyDescent="0.2">
      <c r="A243" s="1">
        <v>45550</v>
      </c>
      <c r="B243" t="s">
        <v>31</v>
      </c>
      <c r="C243" t="s">
        <v>23</v>
      </c>
      <c r="D243" t="s">
        <v>18</v>
      </c>
      <c r="E243">
        <v>5217</v>
      </c>
      <c r="F243">
        <v>1.2</v>
      </c>
      <c r="G243">
        <v>1</v>
      </c>
      <c r="H243">
        <v>6260.4</v>
      </c>
      <c r="I243">
        <v>5217</v>
      </c>
      <c r="J243">
        <v>1043.3999999999901</v>
      </c>
      <c r="K243" t="s">
        <v>43</v>
      </c>
    </row>
    <row r="244" spans="1:11" x14ac:dyDescent="0.2">
      <c r="A244" s="1">
        <v>45439</v>
      </c>
      <c r="B244" t="s">
        <v>27</v>
      </c>
      <c r="C244" t="s">
        <v>11</v>
      </c>
      <c r="D244" t="s">
        <v>18</v>
      </c>
      <c r="E244">
        <v>1700</v>
      </c>
      <c r="F244">
        <v>1.2</v>
      </c>
      <c r="G244">
        <v>1</v>
      </c>
      <c r="H244">
        <v>2040</v>
      </c>
      <c r="I244">
        <v>1700</v>
      </c>
      <c r="J244">
        <v>340</v>
      </c>
      <c r="K244" t="s">
        <v>39</v>
      </c>
    </row>
    <row r="245" spans="1:11" x14ac:dyDescent="0.2">
      <c r="A245" s="1">
        <v>45543</v>
      </c>
      <c r="B245" t="s">
        <v>26</v>
      </c>
      <c r="C245" t="s">
        <v>20</v>
      </c>
      <c r="D245" t="s">
        <v>12</v>
      </c>
      <c r="E245">
        <v>4909</v>
      </c>
      <c r="F245">
        <v>1.25</v>
      </c>
      <c r="G245">
        <v>1.05</v>
      </c>
      <c r="H245">
        <v>6136.25</v>
      </c>
      <c r="I245">
        <v>5154.45</v>
      </c>
      <c r="J245">
        <v>981.8</v>
      </c>
      <c r="K245" t="s">
        <v>43</v>
      </c>
    </row>
    <row r="246" spans="1:11" x14ac:dyDescent="0.2">
      <c r="A246" s="1">
        <v>45637</v>
      </c>
      <c r="B246" t="s">
        <v>31</v>
      </c>
      <c r="C246" t="s">
        <v>29</v>
      </c>
      <c r="D246" t="s">
        <v>12</v>
      </c>
      <c r="E246">
        <v>3354</v>
      </c>
      <c r="F246">
        <v>1.25</v>
      </c>
      <c r="G246">
        <v>1.05</v>
      </c>
      <c r="H246">
        <v>4192.5</v>
      </c>
      <c r="I246">
        <v>3521.7</v>
      </c>
      <c r="J246">
        <v>670.79999999999905</v>
      </c>
      <c r="K246" t="s">
        <v>46</v>
      </c>
    </row>
    <row r="247" spans="1:11" x14ac:dyDescent="0.2">
      <c r="A247" s="1">
        <v>45438</v>
      </c>
      <c r="B247" t="s">
        <v>19</v>
      </c>
      <c r="C247" t="s">
        <v>11</v>
      </c>
      <c r="D247" t="s">
        <v>12</v>
      </c>
      <c r="E247">
        <v>3395</v>
      </c>
      <c r="F247">
        <v>1.25</v>
      </c>
      <c r="G247">
        <v>1.05</v>
      </c>
      <c r="H247">
        <v>4243.75</v>
      </c>
      <c r="I247">
        <v>3564.75</v>
      </c>
      <c r="J247">
        <v>679</v>
      </c>
      <c r="K247" t="s">
        <v>39</v>
      </c>
    </row>
    <row r="248" spans="1:11" x14ac:dyDescent="0.2">
      <c r="A248" s="1">
        <v>45439</v>
      </c>
      <c r="B248" t="s">
        <v>10</v>
      </c>
      <c r="C248" t="s">
        <v>23</v>
      </c>
      <c r="D248" t="s">
        <v>18</v>
      </c>
      <c r="E248">
        <v>1736</v>
      </c>
      <c r="F248">
        <v>1.2</v>
      </c>
      <c r="G248">
        <v>1</v>
      </c>
      <c r="H248">
        <v>2083.1999999999998</v>
      </c>
      <c r="I248">
        <v>1736</v>
      </c>
      <c r="J248">
        <v>347.19999999999902</v>
      </c>
      <c r="K248" t="s">
        <v>39</v>
      </c>
    </row>
    <row r="249" spans="1:11" x14ac:dyDescent="0.2">
      <c r="A249" s="1">
        <v>45643</v>
      </c>
      <c r="B249" t="s">
        <v>13</v>
      </c>
      <c r="C249" t="s">
        <v>17</v>
      </c>
      <c r="D249" t="s">
        <v>18</v>
      </c>
      <c r="E249">
        <v>636</v>
      </c>
      <c r="F249">
        <v>1.2</v>
      </c>
      <c r="G249">
        <v>1</v>
      </c>
      <c r="H249">
        <v>763.19999999999902</v>
      </c>
      <c r="I249">
        <v>636</v>
      </c>
      <c r="J249">
        <v>127.19999999999899</v>
      </c>
      <c r="K249" t="s">
        <v>46</v>
      </c>
    </row>
    <row r="250" spans="1:11" x14ac:dyDescent="0.2">
      <c r="A250" s="1">
        <v>45490</v>
      </c>
      <c r="B250" t="s">
        <v>31</v>
      </c>
      <c r="C250" t="s">
        <v>11</v>
      </c>
      <c r="D250" t="s">
        <v>14</v>
      </c>
      <c r="E250">
        <v>1529</v>
      </c>
      <c r="F250">
        <v>0.9</v>
      </c>
      <c r="G250">
        <v>0.7</v>
      </c>
      <c r="H250">
        <v>1376.1</v>
      </c>
      <c r="I250">
        <v>1070.3</v>
      </c>
      <c r="J250">
        <v>305.8</v>
      </c>
      <c r="K250" t="s">
        <v>41</v>
      </c>
    </row>
    <row r="251" spans="1:11" x14ac:dyDescent="0.2">
      <c r="A251" s="1">
        <v>45599</v>
      </c>
      <c r="B251" t="s">
        <v>26</v>
      </c>
      <c r="C251" t="s">
        <v>11</v>
      </c>
      <c r="D251" t="s">
        <v>12</v>
      </c>
      <c r="E251">
        <v>2656</v>
      </c>
      <c r="F251">
        <v>1.25</v>
      </c>
      <c r="G251">
        <v>1.05</v>
      </c>
      <c r="H251">
        <v>3320</v>
      </c>
      <c r="I251">
        <v>2788.8</v>
      </c>
      <c r="J251">
        <v>531.19999999999902</v>
      </c>
      <c r="K251" t="s">
        <v>45</v>
      </c>
    </row>
    <row r="252" spans="1:11" x14ac:dyDescent="0.2">
      <c r="A252" s="1">
        <v>45419</v>
      </c>
      <c r="B252" t="s">
        <v>16</v>
      </c>
      <c r="C252" t="s">
        <v>17</v>
      </c>
      <c r="D252" t="s">
        <v>18</v>
      </c>
      <c r="E252">
        <v>3094</v>
      </c>
      <c r="F252">
        <v>1.2</v>
      </c>
      <c r="G252">
        <v>1</v>
      </c>
      <c r="H252">
        <v>3712.7999999999902</v>
      </c>
      <c r="I252">
        <v>3094</v>
      </c>
      <c r="J252">
        <v>618.79999999999905</v>
      </c>
      <c r="K252" t="s">
        <v>39</v>
      </c>
    </row>
    <row r="253" spans="1:11" x14ac:dyDescent="0.2">
      <c r="A253" s="1">
        <v>45330</v>
      </c>
      <c r="B253" t="s">
        <v>22</v>
      </c>
      <c r="C253" t="s">
        <v>11</v>
      </c>
      <c r="D253" t="s">
        <v>18</v>
      </c>
      <c r="E253">
        <v>1161</v>
      </c>
      <c r="F253">
        <v>1.2</v>
      </c>
      <c r="G253">
        <v>1</v>
      </c>
      <c r="H253">
        <v>1393.2</v>
      </c>
      <c r="I253">
        <v>1161</v>
      </c>
      <c r="J253">
        <v>232.2</v>
      </c>
      <c r="K253" t="s">
        <v>36</v>
      </c>
    </row>
    <row r="254" spans="1:11" x14ac:dyDescent="0.2">
      <c r="A254" s="1">
        <v>45629</v>
      </c>
      <c r="B254" t="s">
        <v>24</v>
      </c>
      <c r="C254" t="s">
        <v>23</v>
      </c>
      <c r="D254" t="s">
        <v>18</v>
      </c>
      <c r="E254">
        <v>2972</v>
      </c>
      <c r="F254">
        <v>1.2</v>
      </c>
      <c r="G254">
        <v>1</v>
      </c>
      <c r="H254">
        <v>3566.4</v>
      </c>
      <c r="I254">
        <v>2972</v>
      </c>
      <c r="J254">
        <v>594.4</v>
      </c>
      <c r="K254" t="s">
        <v>46</v>
      </c>
    </row>
    <row r="255" spans="1:11" x14ac:dyDescent="0.2">
      <c r="A255" s="1">
        <v>45651</v>
      </c>
      <c r="B255" t="s">
        <v>28</v>
      </c>
      <c r="C255" t="s">
        <v>23</v>
      </c>
      <c r="D255" t="s">
        <v>18</v>
      </c>
      <c r="E255">
        <v>3177</v>
      </c>
      <c r="F255">
        <v>1.2</v>
      </c>
      <c r="G255">
        <v>1</v>
      </c>
      <c r="H255">
        <v>3812.3999999999901</v>
      </c>
      <c r="I255">
        <v>3177</v>
      </c>
      <c r="J255">
        <v>635.39999999999895</v>
      </c>
      <c r="K255" t="s">
        <v>46</v>
      </c>
    </row>
    <row r="256" spans="1:11" x14ac:dyDescent="0.2">
      <c r="A256" s="1">
        <v>45420</v>
      </c>
      <c r="B256" t="s">
        <v>24</v>
      </c>
      <c r="C256" t="s">
        <v>17</v>
      </c>
      <c r="D256" t="s">
        <v>12</v>
      </c>
      <c r="E256">
        <v>2808</v>
      </c>
      <c r="F256">
        <v>1.25</v>
      </c>
      <c r="G256">
        <v>1.05</v>
      </c>
      <c r="H256">
        <v>3510</v>
      </c>
      <c r="I256">
        <v>2948.4</v>
      </c>
      <c r="J256">
        <v>561.599999999999</v>
      </c>
      <c r="K256" t="s">
        <v>39</v>
      </c>
    </row>
    <row r="257" spans="1:11" x14ac:dyDescent="0.2">
      <c r="A257" s="1">
        <v>45558</v>
      </c>
      <c r="B257" t="s">
        <v>16</v>
      </c>
      <c r="C257" t="s">
        <v>20</v>
      </c>
      <c r="D257" t="s">
        <v>18</v>
      </c>
      <c r="E257">
        <v>586</v>
      </c>
      <c r="F257">
        <v>1.2</v>
      </c>
      <c r="G257">
        <v>1</v>
      </c>
      <c r="H257">
        <v>703.19999999999902</v>
      </c>
      <c r="I257">
        <v>586</v>
      </c>
      <c r="J257">
        <v>117.19999999999899</v>
      </c>
      <c r="K257" t="s">
        <v>43</v>
      </c>
    </row>
    <row r="258" spans="1:11" x14ac:dyDescent="0.2">
      <c r="A258" s="1">
        <v>45442</v>
      </c>
      <c r="B258" t="s">
        <v>24</v>
      </c>
      <c r="C258" t="s">
        <v>29</v>
      </c>
      <c r="D258" t="s">
        <v>12</v>
      </c>
      <c r="E258">
        <v>3012</v>
      </c>
      <c r="F258">
        <v>1.25</v>
      </c>
      <c r="G258">
        <v>1.05</v>
      </c>
      <c r="H258">
        <v>3765</v>
      </c>
      <c r="I258">
        <v>3162.6</v>
      </c>
      <c r="J258">
        <v>602.4</v>
      </c>
      <c r="K258" t="s">
        <v>39</v>
      </c>
    </row>
    <row r="259" spans="1:11" x14ac:dyDescent="0.2">
      <c r="A259" s="1">
        <v>45589</v>
      </c>
      <c r="B259" t="s">
        <v>16</v>
      </c>
      <c r="C259" t="s">
        <v>20</v>
      </c>
      <c r="D259" t="s">
        <v>12</v>
      </c>
      <c r="E259">
        <v>3442</v>
      </c>
      <c r="F259">
        <v>1.25</v>
      </c>
      <c r="G259">
        <v>1.05</v>
      </c>
      <c r="H259">
        <v>4302.5</v>
      </c>
      <c r="I259">
        <v>3614.1</v>
      </c>
      <c r="J259">
        <v>688.39999999999895</v>
      </c>
      <c r="K259" t="s">
        <v>44</v>
      </c>
    </row>
    <row r="260" spans="1:11" x14ac:dyDescent="0.2">
      <c r="A260" s="1">
        <v>45390</v>
      </c>
      <c r="B260" t="s">
        <v>21</v>
      </c>
      <c r="C260" t="s">
        <v>11</v>
      </c>
      <c r="D260" t="s">
        <v>12</v>
      </c>
      <c r="E260">
        <v>3273</v>
      </c>
      <c r="F260">
        <v>1.25</v>
      </c>
      <c r="G260">
        <v>1.05</v>
      </c>
      <c r="H260">
        <v>4091.25</v>
      </c>
      <c r="I260">
        <v>3436.65</v>
      </c>
      <c r="J260">
        <v>654.599999999999</v>
      </c>
      <c r="K260" t="s">
        <v>38</v>
      </c>
    </row>
    <row r="261" spans="1:11" x14ac:dyDescent="0.2">
      <c r="A261" s="1">
        <v>45554</v>
      </c>
      <c r="B261" t="s">
        <v>16</v>
      </c>
      <c r="C261" t="s">
        <v>29</v>
      </c>
      <c r="D261" t="s">
        <v>18</v>
      </c>
      <c r="E261">
        <v>3004</v>
      </c>
      <c r="F261">
        <v>1.2</v>
      </c>
      <c r="G261">
        <v>1</v>
      </c>
      <c r="H261">
        <v>3604.7999999999902</v>
      </c>
      <c r="I261">
        <v>3004</v>
      </c>
      <c r="J261">
        <v>600.79999999999905</v>
      </c>
      <c r="K261" t="s">
        <v>43</v>
      </c>
    </row>
    <row r="262" spans="1:11" x14ac:dyDescent="0.2">
      <c r="A262" s="1">
        <v>45543</v>
      </c>
      <c r="B262" t="s">
        <v>16</v>
      </c>
      <c r="C262" t="s">
        <v>17</v>
      </c>
      <c r="D262" t="s">
        <v>14</v>
      </c>
      <c r="E262">
        <v>5904</v>
      </c>
      <c r="F262">
        <v>0.9</v>
      </c>
      <c r="G262">
        <v>0.7</v>
      </c>
      <c r="H262">
        <v>5313.6</v>
      </c>
      <c r="I262">
        <v>4132.8</v>
      </c>
      <c r="J262">
        <v>1180.8</v>
      </c>
      <c r="K262" t="s">
        <v>43</v>
      </c>
    </row>
    <row r="263" spans="1:11" x14ac:dyDescent="0.2">
      <c r="A263" s="1">
        <v>45435</v>
      </c>
      <c r="B263" t="s">
        <v>30</v>
      </c>
      <c r="C263" t="s">
        <v>17</v>
      </c>
      <c r="D263" t="s">
        <v>18</v>
      </c>
      <c r="E263">
        <v>3810</v>
      </c>
      <c r="F263">
        <v>1.2</v>
      </c>
      <c r="G263">
        <v>1</v>
      </c>
      <c r="H263">
        <v>4572</v>
      </c>
      <c r="I263">
        <v>3810</v>
      </c>
      <c r="J263">
        <v>762</v>
      </c>
      <c r="K263" t="s">
        <v>39</v>
      </c>
    </row>
    <row r="264" spans="1:11" x14ac:dyDescent="0.2">
      <c r="A264" s="1">
        <v>45637</v>
      </c>
      <c r="B264" t="s">
        <v>16</v>
      </c>
      <c r="C264" t="s">
        <v>29</v>
      </c>
      <c r="D264" t="s">
        <v>18</v>
      </c>
      <c r="E264">
        <v>2200</v>
      </c>
      <c r="F264">
        <v>1.2</v>
      </c>
      <c r="G264">
        <v>1</v>
      </c>
      <c r="H264">
        <v>2640</v>
      </c>
      <c r="I264">
        <v>2200</v>
      </c>
      <c r="J264">
        <v>440</v>
      </c>
      <c r="K264" t="s">
        <v>46</v>
      </c>
    </row>
    <row r="265" spans="1:11" x14ac:dyDescent="0.2">
      <c r="A265" s="1">
        <v>45403</v>
      </c>
      <c r="B265" t="s">
        <v>19</v>
      </c>
      <c r="C265" t="s">
        <v>23</v>
      </c>
      <c r="D265" t="s">
        <v>18</v>
      </c>
      <c r="E265">
        <v>4170</v>
      </c>
      <c r="F265">
        <v>1.2</v>
      </c>
      <c r="G265">
        <v>1</v>
      </c>
      <c r="H265">
        <v>5004</v>
      </c>
      <c r="I265">
        <v>4170</v>
      </c>
      <c r="J265">
        <v>834</v>
      </c>
      <c r="K265" t="s">
        <v>38</v>
      </c>
    </row>
    <row r="266" spans="1:11" x14ac:dyDescent="0.2">
      <c r="A266" s="1">
        <v>45351</v>
      </c>
      <c r="B266" t="s">
        <v>22</v>
      </c>
      <c r="C266" t="s">
        <v>29</v>
      </c>
      <c r="D266" t="s">
        <v>18</v>
      </c>
      <c r="E266">
        <v>3200</v>
      </c>
      <c r="F266">
        <v>1.2</v>
      </c>
      <c r="G266">
        <v>1</v>
      </c>
      <c r="H266">
        <v>3840</v>
      </c>
      <c r="I266">
        <v>3200</v>
      </c>
      <c r="J266">
        <v>640</v>
      </c>
      <c r="K266" t="s">
        <v>36</v>
      </c>
    </row>
    <row r="267" spans="1:11" x14ac:dyDescent="0.2">
      <c r="A267" s="1">
        <v>45293</v>
      </c>
      <c r="B267" t="s">
        <v>25</v>
      </c>
      <c r="C267" t="s">
        <v>11</v>
      </c>
      <c r="D267" t="s">
        <v>12</v>
      </c>
      <c r="E267">
        <v>4129</v>
      </c>
      <c r="F267">
        <v>1.25</v>
      </c>
      <c r="G267">
        <v>1.05</v>
      </c>
      <c r="H267">
        <v>5161.25</v>
      </c>
      <c r="I267">
        <v>4335.45</v>
      </c>
      <c r="J267">
        <v>825.8</v>
      </c>
      <c r="K267" t="s">
        <v>35</v>
      </c>
    </row>
    <row r="268" spans="1:11" x14ac:dyDescent="0.2">
      <c r="A268" s="1">
        <v>45595</v>
      </c>
      <c r="B268" t="s">
        <v>31</v>
      </c>
      <c r="C268" t="s">
        <v>23</v>
      </c>
      <c r="D268" t="s">
        <v>12</v>
      </c>
      <c r="E268">
        <v>5090</v>
      </c>
      <c r="F268">
        <v>1.25</v>
      </c>
      <c r="G268">
        <v>1.05</v>
      </c>
      <c r="H268">
        <v>6362.5</v>
      </c>
      <c r="I268">
        <v>5344.5</v>
      </c>
      <c r="J268">
        <v>1018</v>
      </c>
      <c r="K268" t="s">
        <v>44</v>
      </c>
    </row>
    <row r="269" spans="1:11" x14ac:dyDescent="0.2">
      <c r="A269" s="1">
        <v>45545</v>
      </c>
      <c r="B269" t="s">
        <v>28</v>
      </c>
      <c r="C269" t="s">
        <v>17</v>
      </c>
      <c r="D269" t="s">
        <v>12</v>
      </c>
      <c r="E269">
        <v>2147</v>
      </c>
      <c r="F269">
        <v>1.25</v>
      </c>
      <c r="G269">
        <v>1.05</v>
      </c>
      <c r="H269">
        <v>2683.75</v>
      </c>
      <c r="I269">
        <v>2254.35</v>
      </c>
      <c r="J269">
        <v>429.4</v>
      </c>
      <c r="K269" t="s">
        <v>43</v>
      </c>
    </row>
    <row r="270" spans="1:11" x14ac:dyDescent="0.2">
      <c r="A270" s="1">
        <v>45431</v>
      </c>
      <c r="B270" t="s">
        <v>13</v>
      </c>
      <c r="C270" t="s">
        <v>29</v>
      </c>
      <c r="D270" t="s">
        <v>12</v>
      </c>
      <c r="E270">
        <v>5664</v>
      </c>
      <c r="F270">
        <v>1.25</v>
      </c>
      <c r="G270">
        <v>1.05</v>
      </c>
      <c r="H270">
        <v>7080</v>
      </c>
      <c r="I270">
        <v>5947.2</v>
      </c>
      <c r="J270">
        <v>1132.8</v>
      </c>
      <c r="K270" t="s">
        <v>39</v>
      </c>
    </row>
    <row r="271" spans="1:11" x14ac:dyDescent="0.2">
      <c r="A271" s="1">
        <v>45328</v>
      </c>
      <c r="B271" t="s">
        <v>22</v>
      </c>
      <c r="C271" t="s">
        <v>20</v>
      </c>
      <c r="D271" t="s">
        <v>12</v>
      </c>
      <c r="E271">
        <v>3818</v>
      </c>
      <c r="F271">
        <v>1.25</v>
      </c>
      <c r="G271">
        <v>1.05</v>
      </c>
      <c r="H271">
        <v>4772.5</v>
      </c>
      <c r="I271">
        <v>4008.9</v>
      </c>
      <c r="J271">
        <v>763.599999999999</v>
      </c>
      <c r="K271" t="s">
        <v>36</v>
      </c>
    </row>
    <row r="272" spans="1:11" x14ac:dyDescent="0.2">
      <c r="A272" s="1">
        <v>45451</v>
      </c>
      <c r="B272" t="s">
        <v>27</v>
      </c>
      <c r="C272" t="s">
        <v>20</v>
      </c>
      <c r="D272" t="s">
        <v>12</v>
      </c>
      <c r="E272">
        <v>4187</v>
      </c>
      <c r="F272">
        <v>1.25</v>
      </c>
      <c r="G272">
        <v>1.05</v>
      </c>
      <c r="H272">
        <v>5233.75</v>
      </c>
      <c r="I272">
        <v>4396.3500000000004</v>
      </c>
      <c r="J272">
        <v>837.39999999999895</v>
      </c>
      <c r="K272" t="s">
        <v>40</v>
      </c>
    </row>
    <row r="273" spans="1:11" x14ac:dyDescent="0.2">
      <c r="A273" s="1">
        <v>45300</v>
      </c>
      <c r="B273" t="s">
        <v>25</v>
      </c>
      <c r="C273" t="s">
        <v>11</v>
      </c>
      <c r="D273" t="s">
        <v>12</v>
      </c>
      <c r="E273">
        <v>1096</v>
      </c>
      <c r="F273">
        <v>1.25</v>
      </c>
      <c r="G273">
        <v>1.05</v>
      </c>
      <c r="H273">
        <v>1370</v>
      </c>
      <c r="I273">
        <v>1150.8</v>
      </c>
      <c r="J273">
        <v>219.2</v>
      </c>
      <c r="K273" t="s">
        <v>35</v>
      </c>
    </row>
    <row r="274" spans="1:11" x14ac:dyDescent="0.2">
      <c r="A274" s="1">
        <v>45524</v>
      </c>
      <c r="B274" t="s">
        <v>21</v>
      </c>
      <c r="C274" t="s">
        <v>20</v>
      </c>
      <c r="D274" t="s">
        <v>14</v>
      </c>
      <c r="E274">
        <v>5045</v>
      </c>
      <c r="F274">
        <v>0.9</v>
      </c>
      <c r="G274">
        <v>0.7</v>
      </c>
      <c r="H274">
        <v>4540.5</v>
      </c>
      <c r="I274">
        <v>3531.5</v>
      </c>
      <c r="J274">
        <v>1009</v>
      </c>
      <c r="K274" t="s">
        <v>42</v>
      </c>
    </row>
    <row r="275" spans="1:11" x14ac:dyDescent="0.2">
      <c r="A275" s="1">
        <v>45390</v>
      </c>
      <c r="B275" t="s">
        <v>21</v>
      </c>
      <c r="C275" t="s">
        <v>29</v>
      </c>
      <c r="D275" t="s">
        <v>12</v>
      </c>
      <c r="E275">
        <v>984</v>
      </c>
      <c r="F275">
        <v>1.25</v>
      </c>
      <c r="G275">
        <v>1.05</v>
      </c>
      <c r="H275">
        <v>1230</v>
      </c>
      <c r="I275">
        <v>1033.2</v>
      </c>
      <c r="J275">
        <v>196.79999999999899</v>
      </c>
      <c r="K275" t="s">
        <v>38</v>
      </c>
    </row>
    <row r="276" spans="1:11" x14ac:dyDescent="0.2">
      <c r="A276" s="1">
        <v>45438</v>
      </c>
      <c r="B276" t="s">
        <v>15</v>
      </c>
      <c r="C276" t="s">
        <v>29</v>
      </c>
      <c r="D276" t="s">
        <v>12</v>
      </c>
      <c r="E276">
        <v>1145</v>
      </c>
      <c r="F276">
        <v>1.25</v>
      </c>
      <c r="G276">
        <v>1.05</v>
      </c>
      <c r="H276">
        <v>1431.25</v>
      </c>
      <c r="I276">
        <v>1202.25</v>
      </c>
      <c r="J276">
        <v>229</v>
      </c>
      <c r="K276" t="s">
        <v>39</v>
      </c>
    </row>
    <row r="277" spans="1:11" x14ac:dyDescent="0.2">
      <c r="A277" s="1">
        <v>45595</v>
      </c>
      <c r="B277" t="s">
        <v>10</v>
      </c>
      <c r="C277" t="s">
        <v>20</v>
      </c>
      <c r="D277" t="s">
        <v>12</v>
      </c>
      <c r="E277">
        <v>3589</v>
      </c>
      <c r="F277">
        <v>1.25</v>
      </c>
      <c r="G277">
        <v>1.05</v>
      </c>
      <c r="H277">
        <v>4486.25</v>
      </c>
      <c r="I277">
        <v>3768.45</v>
      </c>
      <c r="J277">
        <v>717.79999999999905</v>
      </c>
      <c r="K277" t="s">
        <v>44</v>
      </c>
    </row>
    <row r="278" spans="1:11" x14ac:dyDescent="0.2">
      <c r="A278" s="1">
        <v>45499</v>
      </c>
      <c r="B278" t="s">
        <v>16</v>
      </c>
      <c r="C278" t="s">
        <v>29</v>
      </c>
      <c r="D278" t="s">
        <v>18</v>
      </c>
      <c r="E278">
        <v>5257</v>
      </c>
      <c r="F278">
        <v>1.2</v>
      </c>
      <c r="G278">
        <v>1</v>
      </c>
      <c r="H278">
        <v>6308.4</v>
      </c>
      <c r="I278">
        <v>5257</v>
      </c>
      <c r="J278">
        <v>1051.3999999999901</v>
      </c>
      <c r="K278" t="s">
        <v>41</v>
      </c>
    </row>
    <row r="279" spans="1:11" x14ac:dyDescent="0.2">
      <c r="A279" s="1">
        <v>45422</v>
      </c>
      <c r="B279" t="s">
        <v>22</v>
      </c>
      <c r="C279" t="s">
        <v>11</v>
      </c>
      <c r="D279" t="s">
        <v>12</v>
      </c>
      <c r="E279">
        <v>5353</v>
      </c>
      <c r="F279">
        <v>1.25</v>
      </c>
      <c r="G279">
        <v>1.05</v>
      </c>
      <c r="H279">
        <v>6691.25</v>
      </c>
      <c r="I279">
        <v>5620.65</v>
      </c>
      <c r="J279">
        <v>1070.5999999999899</v>
      </c>
      <c r="K279" t="s">
        <v>39</v>
      </c>
    </row>
    <row r="280" spans="1:11" x14ac:dyDescent="0.2">
      <c r="A280" s="1">
        <v>45443</v>
      </c>
      <c r="B280" t="s">
        <v>26</v>
      </c>
      <c r="C280" t="s">
        <v>23</v>
      </c>
      <c r="D280" t="s">
        <v>12</v>
      </c>
      <c r="E280">
        <v>4884</v>
      </c>
      <c r="F280">
        <v>1.25</v>
      </c>
      <c r="G280">
        <v>1.05</v>
      </c>
      <c r="H280">
        <v>6105</v>
      </c>
      <c r="I280">
        <v>5128.2</v>
      </c>
      <c r="J280">
        <v>976.8</v>
      </c>
      <c r="K280" t="s">
        <v>39</v>
      </c>
    </row>
    <row r="281" spans="1:11" x14ac:dyDescent="0.2">
      <c r="A281" s="1">
        <v>45345</v>
      </c>
      <c r="B281" t="s">
        <v>30</v>
      </c>
      <c r="C281" t="s">
        <v>11</v>
      </c>
      <c r="D281" t="s">
        <v>18</v>
      </c>
      <c r="E281">
        <v>1220</v>
      </c>
      <c r="F281">
        <v>1.2</v>
      </c>
      <c r="G281">
        <v>1</v>
      </c>
      <c r="H281">
        <v>1464</v>
      </c>
      <c r="I281">
        <v>1220</v>
      </c>
      <c r="J281">
        <v>244</v>
      </c>
      <c r="K281" t="s">
        <v>36</v>
      </c>
    </row>
    <row r="282" spans="1:11" x14ac:dyDescent="0.2">
      <c r="A282" s="1">
        <v>45411</v>
      </c>
      <c r="B282" t="s">
        <v>24</v>
      </c>
      <c r="C282" t="s">
        <v>11</v>
      </c>
      <c r="D282" t="s">
        <v>12</v>
      </c>
      <c r="E282">
        <v>5233</v>
      </c>
      <c r="F282">
        <v>1.25</v>
      </c>
      <c r="G282">
        <v>1.05</v>
      </c>
      <c r="H282">
        <v>6541.25</v>
      </c>
      <c r="I282">
        <v>5494.65</v>
      </c>
      <c r="J282">
        <v>1046.5999999999899</v>
      </c>
      <c r="K282" t="s">
        <v>38</v>
      </c>
    </row>
    <row r="283" spans="1:11" x14ac:dyDescent="0.2">
      <c r="A283" s="1">
        <v>45452</v>
      </c>
      <c r="B283" t="s">
        <v>27</v>
      </c>
      <c r="C283" t="s">
        <v>29</v>
      </c>
      <c r="D283" t="s">
        <v>12</v>
      </c>
      <c r="E283">
        <v>998</v>
      </c>
      <c r="F283">
        <v>1.25</v>
      </c>
      <c r="G283">
        <v>1.05</v>
      </c>
      <c r="H283">
        <v>1247.5</v>
      </c>
      <c r="I283">
        <v>1047.9000000000001</v>
      </c>
      <c r="J283">
        <v>199.599999999999</v>
      </c>
      <c r="K283" t="s">
        <v>40</v>
      </c>
    </row>
    <row r="284" spans="1:11" x14ac:dyDescent="0.2">
      <c r="A284" s="1">
        <v>45407</v>
      </c>
      <c r="B284" t="s">
        <v>21</v>
      </c>
      <c r="C284" t="s">
        <v>23</v>
      </c>
      <c r="D284" t="s">
        <v>12</v>
      </c>
      <c r="E284">
        <v>5229</v>
      </c>
      <c r="F284">
        <v>1.25</v>
      </c>
      <c r="G284">
        <v>1.05</v>
      </c>
      <c r="H284">
        <v>6536.25</v>
      </c>
      <c r="I284">
        <v>5490.45</v>
      </c>
      <c r="J284">
        <v>1045.8</v>
      </c>
      <c r="K284" t="s">
        <v>38</v>
      </c>
    </row>
    <row r="285" spans="1:11" x14ac:dyDescent="0.2">
      <c r="A285" s="1">
        <v>45366</v>
      </c>
      <c r="B285" t="s">
        <v>28</v>
      </c>
      <c r="C285" t="s">
        <v>29</v>
      </c>
      <c r="D285" t="s">
        <v>12</v>
      </c>
      <c r="E285">
        <v>2173</v>
      </c>
      <c r="F285">
        <v>1.25</v>
      </c>
      <c r="G285">
        <v>1.05</v>
      </c>
      <c r="H285">
        <v>2716.25</v>
      </c>
      <c r="I285">
        <v>2281.65</v>
      </c>
      <c r="J285">
        <v>434.599999999999</v>
      </c>
      <c r="K285" t="s">
        <v>37</v>
      </c>
    </row>
    <row r="286" spans="1:11" x14ac:dyDescent="0.2">
      <c r="A286" s="1">
        <v>45404</v>
      </c>
      <c r="B286" t="s">
        <v>21</v>
      </c>
      <c r="C286" t="s">
        <v>17</v>
      </c>
      <c r="D286" t="s">
        <v>12</v>
      </c>
      <c r="E286">
        <v>3567</v>
      </c>
      <c r="F286">
        <v>1.25</v>
      </c>
      <c r="G286">
        <v>1.05</v>
      </c>
      <c r="H286">
        <v>4458.75</v>
      </c>
      <c r="I286">
        <v>3745.35</v>
      </c>
      <c r="J286">
        <v>713.39999999999895</v>
      </c>
      <c r="K286" t="s">
        <v>38</v>
      </c>
    </row>
    <row r="287" spans="1:11" x14ac:dyDescent="0.2">
      <c r="A287" s="1">
        <v>45395</v>
      </c>
      <c r="B287" t="s">
        <v>13</v>
      </c>
      <c r="C287" t="s">
        <v>29</v>
      </c>
      <c r="D287" t="s">
        <v>12</v>
      </c>
      <c r="E287">
        <v>614</v>
      </c>
      <c r="F287">
        <v>1.25</v>
      </c>
      <c r="G287">
        <v>1.05</v>
      </c>
      <c r="H287">
        <v>767.5</v>
      </c>
      <c r="I287">
        <v>644.70000000000005</v>
      </c>
      <c r="J287">
        <v>122.799999999999</v>
      </c>
      <c r="K287" t="s">
        <v>38</v>
      </c>
    </row>
    <row r="288" spans="1:11" x14ac:dyDescent="0.2">
      <c r="A288" s="1">
        <v>45631</v>
      </c>
      <c r="B288" t="s">
        <v>31</v>
      </c>
      <c r="C288" t="s">
        <v>29</v>
      </c>
      <c r="D288" t="s">
        <v>18</v>
      </c>
      <c r="E288">
        <v>3479</v>
      </c>
      <c r="F288">
        <v>1.2</v>
      </c>
      <c r="G288">
        <v>1</v>
      </c>
      <c r="H288">
        <v>4174.8</v>
      </c>
      <c r="I288">
        <v>3479</v>
      </c>
      <c r="J288">
        <v>695.8</v>
      </c>
      <c r="K288" t="s">
        <v>46</v>
      </c>
    </row>
    <row r="289" spans="1:11" x14ac:dyDescent="0.2">
      <c r="A289" s="1">
        <v>45545</v>
      </c>
      <c r="B289" t="s">
        <v>21</v>
      </c>
      <c r="C289" t="s">
        <v>29</v>
      </c>
      <c r="D289" t="s">
        <v>18</v>
      </c>
      <c r="E289">
        <v>5269</v>
      </c>
      <c r="F289">
        <v>1.2</v>
      </c>
      <c r="G289">
        <v>1</v>
      </c>
      <c r="H289">
        <v>6322.8</v>
      </c>
      <c r="I289">
        <v>5269</v>
      </c>
      <c r="J289">
        <v>1053.8</v>
      </c>
      <c r="K289" t="s">
        <v>43</v>
      </c>
    </row>
    <row r="290" spans="1:11" x14ac:dyDescent="0.2">
      <c r="A290" s="1">
        <v>45518</v>
      </c>
      <c r="B290" t="s">
        <v>13</v>
      </c>
      <c r="C290" t="s">
        <v>23</v>
      </c>
      <c r="D290" t="s">
        <v>18</v>
      </c>
      <c r="E290">
        <v>2236</v>
      </c>
      <c r="F290">
        <v>1.2</v>
      </c>
      <c r="G290">
        <v>1</v>
      </c>
      <c r="H290">
        <v>2683.2</v>
      </c>
      <c r="I290">
        <v>2236</v>
      </c>
      <c r="J290">
        <v>447.19999999999902</v>
      </c>
      <c r="K290" t="s">
        <v>42</v>
      </c>
    </row>
    <row r="291" spans="1:11" x14ac:dyDescent="0.2">
      <c r="A291" s="1">
        <v>45403</v>
      </c>
      <c r="B291" t="s">
        <v>22</v>
      </c>
      <c r="C291" t="s">
        <v>29</v>
      </c>
      <c r="D291" t="s">
        <v>12</v>
      </c>
      <c r="E291">
        <v>5853</v>
      </c>
      <c r="F291">
        <v>1.25</v>
      </c>
      <c r="G291">
        <v>1.05</v>
      </c>
      <c r="H291">
        <v>7316.25</v>
      </c>
      <c r="I291">
        <v>6145.65</v>
      </c>
      <c r="J291">
        <v>1170.5999999999899</v>
      </c>
      <c r="K291" t="s">
        <v>38</v>
      </c>
    </row>
    <row r="292" spans="1:11" x14ac:dyDescent="0.2">
      <c r="A292" s="1">
        <v>45390</v>
      </c>
      <c r="B292" t="s">
        <v>22</v>
      </c>
      <c r="C292" t="s">
        <v>23</v>
      </c>
      <c r="D292" t="s">
        <v>14</v>
      </c>
      <c r="E292">
        <v>4111</v>
      </c>
      <c r="F292">
        <v>0.9</v>
      </c>
      <c r="G292">
        <v>0.7</v>
      </c>
      <c r="H292">
        <v>3699.9</v>
      </c>
      <c r="I292">
        <v>2877.7</v>
      </c>
      <c r="J292">
        <v>822.2</v>
      </c>
      <c r="K292" t="s">
        <v>38</v>
      </c>
    </row>
    <row r="293" spans="1:11" x14ac:dyDescent="0.2">
      <c r="A293" s="1">
        <v>45444</v>
      </c>
      <c r="B293" t="s">
        <v>30</v>
      </c>
      <c r="C293" t="s">
        <v>20</v>
      </c>
      <c r="D293" t="s">
        <v>12</v>
      </c>
      <c r="E293">
        <v>2753</v>
      </c>
      <c r="F293">
        <v>1.25</v>
      </c>
      <c r="G293">
        <v>1.05</v>
      </c>
      <c r="H293">
        <v>3441.25</v>
      </c>
      <c r="I293">
        <v>2890.65</v>
      </c>
      <c r="J293">
        <v>550.599999999999</v>
      </c>
      <c r="K293" t="s">
        <v>40</v>
      </c>
    </row>
    <row r="294" spans="1:11" x14ac:dyDescent="0.2">
      <c r="A294" s="1">
        <v>45640</v>
      </c>
      <c r="B294" t="s">
        <v>10</v>
      </c>
      <c r="C294" t="s">
        <v>17</v>
      </c>
      <c r="D294" t="s">
        <v>12</v>
      </c>
      <c r="E294">
        <v>2794</v>
      </c>
      <c r="F294">
        <v>1.25</v>
      </c>
      <c r="G294">
        <v>1.05</v>
      </c>
      <c r="H294">
        <v>3492.5</v>
      </c>
      <c r="I294">
        <v>2933.7</v>
      </c>
      <c r="J294">
        <v>558.79999999999905</v>
      </c>
      <c r="K294" t="s">
        <v>46</v>
      </c>
    </row>
    <row r="295" spans="1:11" x14ac:dyDescent="0.2">
      <c r="A295" s="1">
        <v>45657</v>
      </c>
      <c r="B295" t="s">
        <v>15</v>
      </c>
      <c r="C295" t="s">
        <v>23</v>
      </c>
      <c r="D295" t="s">
        <v>18</v>
      </c>
      <c r="E295">
        <v>4130</v>
      </c>
      <c r="F295">
        <v>1.2</v>
      </c>
      <c r="G295">
        <v>1</v>
      </c>
      <c r="H295">
        <v>4956</v>
      </c>
      <c r="I295">
        <v>4130</v>
      </c>
      <c r="J295">
        <v>826</v>
      </c>
      <c r="K295" t="s">
        <v>46</v>
      </c>
    </row>
    <row r="296" spans="1:11" x14ac:dyDescent="0.2">
      <c r="A296" s="1">
        <v>45629</v>
      </c>
      <c r="B296" t="s">
        <v>25</v>
      </c>
      <c r="C296" t="s">
        <v>20</v>
      </c>
      <c r="D296" t="s">
        <v>12</v>
      </c>
      <c r="E296">
        <v>646</v>
      </c>
      <c r="F296">
        <v>1.25</v>
      </c>
      <c r="G296">
        <v>1.05</v>
      </c>
      <c r="H296">
        <v>807.5</v>
      </c>
      <c r="I296">
        <v>678.3</v>
      </c>
      <c r="J296">
        <v>129.19999999999899</v>
      </c>
      <c r="K296" t="s">
        <v>46</v>
      </c>
    </row>
    <row r="297" spans="1:11" x14ac:dyDescent="0.2">
      <c r="A297" s="1">
        <v>45485</v>
      </c>
      <c r="B297" t="s">
        <v>21</v>
      </c>
      <c r="C297" t="s">
        <v>23</v>
      </c>
      <c r="D297" t="s">
        <v>12</v>
      </c>
      <c r="E297">
        <v>4482</v>
      </c>
      <c r="F297">
        <v>1.25</v>
      </c>
      <c r="G297">
        <v>1.05</v>
      </c>
      <c r="H297">
        <v>5602.5</v>
      </c>
      <c r="I297">
        <v>4706.1000000000004</v>
      </c>
      <c r="J297">
        <v>896.39999999999895</v>
      </c>
      <c r="K297" t="s">
        <v>41</v>
      </c>
    </row>
    <row r="298" spans="1:11" x14ac:dyDescent="0.2">
      <c r="A298" s="1">
        <v>45601</v>
      </c>
      <c r="B298" t="s">
        <v>28</v>
      </c>
      <c r="C298" t="s">
        <v>23</v>
      </c>
      <c r="D298" t="s">
        <v>18</v>
      </c>
      <c r="E298">
        <v>3953</v>
      </c>
      <c r="F298">
        <v>1.2</v>
      </c>
      <c r="G298">
        <v>1</v>
      </c>
      <c r="H298">
        <v>4743.5999999999904</v>
      </c>
      <c r="I298">
        <v>3953</v>
      </c>
      <c r="J298">
        <v>790.599999999999</v>
      </c>
      <c r="K298" t="s">
        <v>45</v>
      </c>
    </row>
    <row r="299" spans="1:11" x14ac:dyDescent="0.2">
      <c r="A299" s="1">
        <v>45454</v>
      </c>
      <c r="B299" t="s">
        <v>21</v>
      </c>
      <c r="C299" t="s">
        <v>17</v>
      </c>
      <c r="D299" t="s">
        <v>14</v>
      </c>
      <c r="E299">
        <v>5007</v>
      </c>
      <c r="F299">
        <v>0.9</v>
      </c>
      <c r="G299">
        <v>0.7</v>
      </c>
      <c r="H299">
        <v>4506.3</v>
      </c>
      <c r="I299">
        <v>3504.8999999999901</v>
      </c>
      <c r="J299">
        <v>1001.4</v>
      </c>
      <c r="K299" t="s">
        <v>40</v>
      </c>
    </row>
    <row r="300" spans="1:11" x14ac:dyDescent="0.2">
      <c r="A300" s="1">
        <v>45499</v>
      </c>
      <c r="B300" t="s">
        <v>15</v>
      </c>
      <c r="C300" t="s">
        <v>11</v>
      </c>
      <c r="D300" t="s">
        <v>12</v>
      </c>
      <c r="E300">
        <v>2910</v>
      </c>
      <c r="F300">
        <v>1.25</v>
      </c>
      <c r="G300">
        <v>1.05</v>
      </c>
      <c r="H300">
        <v>3637.5</v>
      </c>
      <c r="I300">
        <v>3055.5</v>
      </c>
      <c r="J300">
        <v>582</v>
      </c>
      <c r="K300" t="s">
        <v>41</v>
      </c>
    </row>
    <row r="301" spans="1:11" x14ac:dyDescent="0.2">
      <c r="A301" s="1">
        <v>45460</v>
      </c>
      <c r="B301" t="s">
        <v>32</v>
      </c>
      <c r="C301" t="s">
        <v>11</v>
      </c>
      <c r="D301" t="s">
        <v>18</v>
      </c>
      <c r="E301">
        <v>636</v>
      </c>
      <c r="F301">
        <v>1.2</v>
      </c>
      <c r="G301">
        <v>1</v>
      </c>
      <c r="H301">
        <v>763.19999999999902</v>
      </c>
      <c r="I301">
        <v>636</v>
      </c>
      <c r="J301">
        <v>127.19999999999899</v>
      </c>
      <c r="K301" t="s">
        <v>40</v>
      </c>
    </row>
    <row r="302" spans="1:11" x14ac:dyDescent="0.2">
      <c r="A302" s="1">
        <v>45452</v>
      </c>
      <c r="B302" t="s">
        <v>28</v>
      </c>
      <c r="C302" t="s">
        <v>23</v>
      </c>
      <c r="D302" t="s">
        <v>14</v>
      </c>
      <c r="E302">
        <v>3860</v>
      </c>
      <c r="F302">
        <v>0.9</v>
      </c>
      <c r="G302">
        <v>0.7</v>
      </c>
      <c r="H302">
        <v>3474</v>
      </c>
      <c r="I302">
        <v>2702</v>
      </c>
      <c r="J302">
        <v>772</v>
      </c>
      <c r="K302" t="s">
        <v>40</v>
      </c>
    </row>
    <row r="303" spans="1:11" x14ac:dyDescent="0.2">
      <c r="A303" s="1">
        <v>45359</v>
      </c>
      <c r="B303" t="s">
        <v>19</v>
      </c>
      <c r="C303" t="s">
        <v>29</v>
      </c>
      <c r="D303" t="s">
        <v>12</v>
      </c>
      <c r="E303">
        <v>3505</v>
      </c>
      <c r="F303">
        <v>1.25</v>
      </c>
      <c r="G303">
        <v>1.05</v>
      </c>
      <c r="H303">
        <v>4381.25</v>
      </c>
      <c r="I303">
        <v>3680.25</v>
      </c>
      <c r="J303">
        <v>701</v>
      </c>
      <c r="K303" t="s">
        <v>37</v>
      </c>
    </row>
    <row r="304" spans="1:11" x14ac:dyDescent="0.2">
      <c r="A304" s="1">
        <v>45580</v>
      </c>
      <c r="B304" t="s">
        <v>16</v>
      </c>
      <c r="C304" t="s">
        <v>20</v>
      </c>
      <c r="D304" t="s">
        <v>12</v>
      </c>
      <c r="E304">
        <v>4052</v>
      </c>
      <c r="F304">
        <v>1.25</v>
      </c>
      <c r="G304">
        <v>1.05</v>
      </c>
      <c r="H304">
        <v>5065</v>
      </c>
      <c r="I304">
        <v>4254.6000000000004</v>
      </c>
      <c r="J304">
        <v>810.39999999999895</v>
      </c>
      <c r="K304" t="s">
        <v>44</v>
      </c>
    </row>
    <row r="305" spans="1:11" x14ac:dyDescent="0.2">
      <c r="A305" s="1">
        <v>45568</v>
      </c>
      <c r="B305" t="s">
        <v>25</v>
      </c>
      <c r="C305" t="s">
        <v>29</v>
      </c>
      <c r="D305" t="s">
        <v>12</v>
      </c>
      <c r="E305">
        <v>518</v>
      </c>
      <c r="F305">
        <v>1.25</v>
      </c>
      <c r="G305">
        <v>1.05</v>
      </c>
      <c r="H305">
        <v>647.5</v>
      </c>
      <c r="I305">
        <v>543.9</v>
      </c>
      <c r="J305">
        <v>103.6</v>
      </c>
      <c r="K305" t="s">
        <v>44</v>
      </c>
    </row>
    <row r="306" spans="1:11" x14ac:dyDescent="0.2">
      <c r="A306" s="1">
        <v>45595</v>
      </c>
      <c r="B306" t="s">
        <v>19</v>
      </c>
      <c r="C306" t="s">
        <v>29</v>
      </c>
      <c r="D306" t="s">
        <v>12</v>
      </c>
      <c r="E306">
        <v>2742</v>
      </c>
      <c r="F306">
        <v>1.25</v>
      </c>
      <c r="G306">
        <v>1.05</v>
      </c>
      <c r="H306">
        <v>3427.5</v>
      </c>
      <c r="I306">
        <v>2879.1</v>
      </c>
      <c r="J306">
        <v>548.4</v>
      </c>
      <c r="K306" t="s">
        <v>44</v>
      </c>
    </row>
    <row r="307" spans="1:11" x14ac:dyDescent="0.2">
      <c r="A307" s="1">
        <v>45426</v>
      </c>
      <c r="B307" t="s">
        <v>32</v>
      </c>
      <c r="C307" t="s">
        <v>23</v>
      </c>
      <c r="D307" t="s">
        <v>12</v>
      </c>
      <c r="E307">
        <v>5597</v>
      </c>
      <c r="F307">
        <v>1.25</v>
      </c>
      <c r="G307">
        <v>1.05</v>
      </c>
      <c r="H307">
        <v>6996.25</v>
      </c>
      <c r="I307">
        <v>5876.85</v>
      </c>
      <c r="J307">
        <v>1119.3999999999901</v>
      </c>
      <c r="K307" t="s">
        <v>39</v>
      </c>
    </row>
    <row r="308" spans="1:11" x14ac:dyDescent="0.2">
      <c r="A308" s="1">
        <v>45486</v>
      </c>
      <c r="B308" t="s">
        <v>32</v>
      </c>
      <c r="C308" t="s">
        <v>23</v>
      </c>
      <c r="D308" t="s">
        <v>14</v>
      </c>
      <c r="E308">
        <v>948</v>
      </c>
      <c r="F308">
        <v>0.9</v>
      </c>
      <c r="G308">
        <v>0.7</v>
      </c>
      <c r="H308">
        <v>853.2</v>
      </c>
      <c r="I308">
        <v>663.599999999999</v>
      </c>
      <c r="J308">
        <v>189.6</v>
      </c>
      <c r="K308" t="s">
        <v>41</v>
      </c>
    </row>
    <row r="309" spans="1:11" x14ac:dyDescent="0.2">
      <c r="A309" s="1">
        <v>45419</v>
      </c>
      <c r="B309" t="s">
        <v>15</v>
      </c>
      <c r="C309" t="s">
        <v>23</v>
      </c>
      <c r="D309" t="s">
        <v>18</v>
      </c>
      <c r="E309">
        <v>2448</v>
      </c>
      <c r="F309">
        <v>1.2</v>
      </c>
      <c r="G309">
        <v>1</v>
      </c>
      <c r="H309">
        <v>2937.6</v>
      </c>
      <c r="I309">
        <v>2448</v>
      </c>
      <c r="J309">
        <v>489.599999999999</v>
      </c>
      <c r="K309" t="s">
        <v>39</v>
      </c>
    </row>
    <row r="310" spans="1:11" x14ac:dyDescent="0.2">
      <c r="A310" s="1">
        <v>45324</v>
      </c>
      <c r="B310" t="s">
        <v>21</v>
      </c>
      <c r="C310" t="s">
        <v>23</v>
      </c>
      <c r="D310" t="s">
        <v>18</v>
      </c>
      <c r="E310">
        <v>1445</v>
      </c>
      <c r="F310">
        <v>1.2</v>
      </c>
      <c r="G310">
        <v>1</v>
      </c>
      <c r="H310">
        <v>1734</v>
      </c>
      <c r="I310">
        <v>1445</v>
      </c>
      <c r="J310">
        <v>289</v>
      </c>
      <c r="K310" t="s">
        <v>36</v>
      </c>
    </row>
    <row r="311" spans="1:11" x14ac:dyDescent="0.2">
      <c r="A311" s="1">
        <v>45467</v>
      </c>
      <c r="B311" t="s">
        <v>15</v>
      </c>
      <c r="C311" t="s">
        <v>11</v>
      </c>
      <c r="D311" t="s">
        <v>12</v>
      </c>
      <c r="E311">
        <v>5973</v>
      </c>
      <c r="F311">
        <v>1.25</v>
      </c>
      <c r="G311">
        <v>1.05</v>
      </c>
      <c r="H311">
        <v>7466.25</v>
      </c>
      <c r="I311">
        <v>6271.65</v>
      </c>
      <c r="J311">
        <v>1194.5999999999899</v>
      </c>
      <c r="K311" t="s">
        <v>40</v>
      </c>
    </row>
    <row r="312" spans="1:11" x14ac:dyDescent="0.2">
      <c r="A312" s="1">
        <v>45313</v>
      </c>
      <c r="B312" t="s">
        <v>15</v>
      </c>
      <c r="C312" t="s">
        <v>23</v>
      </c>
      <c r="D312" t="s">
        <v>18</v>
      </c>
      <c r="E312">
        <v>4736</v>
      </c>
      <c r="F312">
        <v>1.2</v>
      </c>
      <c r="G312">
        <v>1</v>
      </c>
      <c r="H312">
        <v>5683.2</v>
      </c>
      <c r="I312">
        <v>4736</v>
      </c>
      <c r="J312">
        <v>947.19999999999902</v>
      </c>
      <c r="K312" t="s">
        <v>35</v>
      </c>
    </row>
    <row r="313" spans="1:11" x14ac:dyDescent="0.2">
      <c r="A313" s="1">
        <v>45529</v>
      </c>
      <c r="B313" t="s">
        <v>32</v>
      </c>
      <c r="C313" t="s">
        <v>11</v>
      </c>
      <c r="D313" t="s">
        <v>14</v>
      </c>
      <c r="E313">
        <v>2420</v>
      </c>
      <c r="F313">
        <v>0.9</v>
      </c>
      <c r="G313">
        <v>0.7</v>
      </c>
      <c r="H313">
        <v>2178</v>
      </c>
      <c r="I313">
        <v>1694</v>
      </c>
      <c r="J313">
        <v>484</v>
      </c>
      <c r="K313" t="s">
        <v>42</v>
      </c>
    </row>
    <row r="314" spans="1:11" x14ac:dyDescent="0.2">
      <c r="A314" s="1">
        <v>45449</v>
      </c>
      <c r="B314" t="s">
        <v>25</v>
      </c>
      <c r="C314" t="s">
        <v>11</v>
      </c>
      <c r="D314" t="s">
        <v>18</v>
      </c>
      <c r="E314">
        <v>3477</v>
      </c>
      <c r="F314">
        <v>1.2</v>
      </c>
      <c r="G314">
        <v>1</v>
      </c>
      <c r="H314">
        <v>4172.3999999999996</v>
      </c>
      <c r="I314">
        <v>3477</v>
      </c>
      <c r="J314">
        <v>695.39999999999895</v>
      </c>
      <c r="K314" t="s">
        <v>40</v>
      </c>
    </row>
    <row r="315" spans="1:11" x14ac:dyDescent="0.2">
      <c r="A315" s="1">
        <v>45329</v>
      </c>
      <c r="B315" t="s">
        <v>19</v>
      </c>
      <c r="C315" t="s">
        <v>23</v>
      </c>
      <c r="D315" t="s">
        <v>12</v>
      </c>
      <c r="E315">
        <v>4688</v>
      </c>
      <c r="F315">
        <v>1.25</v>
      </c>
      <c r="G315">
        <v>1.05</v>
      </c>
      <c r="H315">
        <v>5860</v>
      </c>
      <c r="I315">
        <v>4922.3999999999996</v>
      </c>
      <c r="J315">
        <v>937.599999999999</v>
      </c>
      <c r="K315" t="s">
        <v>36</v>
      </c>
    </row>
    <row r="316" spans="1:11" x14ac:dyDescent="0.2">
      <c r="A316" s="1">
        <v>45521</v>
      </c>
      <c r="B316" t="s">
        <v>24</v>
      </c>
      <c r="C316" t="s">
        <v>17</v>
      </c>
      <c r="D316" t="s">
        <v>18</v>
      </c>
      <c r="E316">
        <v>4515</v>
      </c>
      <c r="F316">
        <v>1.2</v>
      </c>
      <c r="G316">
        <v>1</v>
      </c>
      <c r="H316">
        <v>5418</v>
      </c>
      <c r="I316">
        <v>4515</v>
      </c>
      <c r="J316">
        <v>903</v>
      </c>
      <c r="K316" t="s">
        <v>42</v>
      </c>
    </row>
    <row r="317" spans="1:11" x14ac:dyDescent="0.2">
      <c r="A317" s="1">
        <v>45656</v>
      </c>
      <c r="B317" t="s">
        <v>21</v>
      </c>
      <c r="C317" t="s">
        <v>20</v>
      </c>
      <c r="D317" t="s">
        <v>12</v>
      </c>
      <c r="E317">
        <v>738</v>
      </c>
      <c r="F317">
        <v>1.25</v>
      </c>
      <c r="G317">
        <v>1.05</v>
      </c>
      <c r="H317">
        <v>922.5</v>
      </c>
      <c r="I317">
        <v>774.9</v>
      </c>
      <c r="J317">
        <v>147.6</v>
      </c>
      <c r="K317" t="s">
        <v>46</v>
      </c>
    </row>
    <row r="318" spans="1:11" x14ac:dyDescent="0.2">
      <c r="A318" s="1">
        <v>45342</v>
      </c>
      <c r="B318" t="s">
        <v>32</v>
      </c>
      <c r="C318" t="s">
        <v>29</v>
      </c>
      <c r="D318" t="s">
        <v>12</v>
      </c>
      <c r="E318">
        <v>704</v>
      </c>
      <c r="F318">
        <v>1.25</v>
      </c>
      <c r="G318">
        <v>1.05</v>
      </c>
      <c r="H318">
        <v>880</v>
      </c>
      <c r="I318">
        <v>739.2</v>
      </c>
      <c r="J318">
        <v>140.79999999999899</v>
      </c>
      <c r="K318" t="s">
        <v>36</v>
      </c>
    </row>
    <row r="319" spans="1:11" x14ac:dyDescent="0.2">
      <c r="A319" s="1">
        <v>45555</v>
      </c>
      <c r="B319" t="s">
        <v>19</v>
      </c>
      <c r="C319" t="s">
        <v>11</v>
      </c>
      <c r="D319" t="s">
        <v>12</v>
      </c>
      <c r="E319">
        <v>3107</v>
      </c>
      <c r="F319">
        <v>1.25</v>
      </c>
      <c r="G319">
        <v>1.05</v>
      </c>
      <c r="H319">
        <v>3883.75</v>
      </c>
      <c r="I319">
        <v>3262.35</v>
      </c>
      <c r="J319">
        <v>621.39999999999895</v>
      </c>
      <c r="K319" t="s">
        <v>43</v>
      </c>
    </row>
    <row r="320" spans="1:11" x14ac:dyDescent="0.2">
      <c r="A320" s="1">
        <v>45574</v>
      </c>
      <c r="B320" t="s">
        <v>10</v>
      </c>
      <c r="C320" t="s">
        <v>20</v>
      </c>
      <c r="D320" t="s">
        <v>18</v>
      </c>
      <c r="E320">
        <v>4840</v>
      </c>
      <c r="F320">
        <v>1.2</v>
      </c>
      <c r="G320">
        <v>1</v>
      </c>
      <c r="H320">
        <v>5808</v>
      </c>
      <c r="I320">
        <v>4840</v>
      </c>
      <c r="J320">
        <v>968</v>
      </c>
      <c r="K320" t="s">
        <v>44</v>
      </c>
    </row>
    <row r="321" spans="1:11" x14ac:dyDescent="0.2">
      <c r="A321" s="1">
        <v>45318</v>
      </c>
      <c r="B321" t="s">
        <v>24</v>
      </c>
      <c r="C321" t="s">
        <v>17</v>
      </c>
      <c r="D321" t="s">
        <v>18</v>
      </c>
      <c r="E321">
        <v>5427</v>
      </c>
      <c r="F321">
        <v>1.2</v>
      </c>
      <c r="G321">
        <v>1</v>
      </c>
      <c r="H321">
        <v>6512.4</v>
      </c>
      <c r="I321">
        <v>5427</v>
      </c>
      <c r="J321">
        <v>1085.3999999999901</v>
      </c>
      <c r="K321" t="s">
        <v>35</v>
      </c>
    </row>
    <row r="322" spans="1:11" x14ac:dyDescent="0.2">
      <c r="A322" s="1">
        <v>45517</v>
      </c>
      <c r="B322" t="s">
        <v>24</v>
      </c>
      <c r="C322" t="s">
        <v>29</v>
      </c>
      <c r="D322" t="s">
        <v>12</v>
      </c>
      <c r="E322">
        <v>3888</v>
      </c>
      <c r="F322">
        <v>1.25</v>
      </c>
      <c r="G322">
        <v>1.05</v>
      </c>
      <c r="H322">
        <v>4860</v>
      </c>
      <c r="I322">
        <v>4082.4</v>
      </c>
      <c r="J322">
        <v>777.599999999999</v>
      </c>
      <c r="K322" t="s">
        <v>42</v>
      </c>
    </row>
    <row r="323" spans="1:11" x14ac:dyDescent="0.2">
      <c r="A323" s="1">
        <v>45568</v>
      </c>
      <c r="B323" t="s">
        <v>22</v>
      </c>
      <c r="C323" t="s">
        <v>29</v>
      </c>
      <c r="D323" t="s">
        <v>12</v>
      </c>
      <c r="E323">
        <v>3472</v>
      </c>
      <c r="F323">
        <v>1.25</v>
      </c>
      <c r="G323">
        <v>1.05</v>
      </c>
      <c r="H323">
        <v>4340</v>
      </c>
      <c r="I323">
        <v>3645.6</v>
      </c>
      <c r="J323">
        <v>694.39999999999895</v>
      </c>
      <c r="K323" t="s">
        <v>44</v>
      </c>
    </row>
    <row r="324" spans="1:11" x14ac:dyDescent="0.2">
      <c r="A324" s="1">
        <v>45577</v>
      </c>
      <c r="B324" t="s">
        <v>30</v>
      </c>
      <c r="C324" t="s">
        <v>11</v>
      </c>
      <c r="D324" t="s">
        <v>12</v>
      </c>
      <c r="E324">
        <v>4890</v>
      </c>
      <c r="F324">
        <v>1.25</v>
      </c>
      <c r="G324">
        <v>1.05</v>
      </c>
      <c r="H324">
        <v>6112.5</v>
      </c>
      <c r="I324">
        <v>5134.5</v>
      </c>
      <c r="J324">
        <v>978</v>
      </c>
      <c r="K324" t="s">
        <v>44</v>
      </c>
    </row>
    <row r="325" spans="1:11" x14ac:dyDescent="0.2">
      <c r="A325" s="1">
        <v>45388</v>
      </c>
      <c r="B325" t="s">
        <v>21</v>
      </c>
      <c r="C325" t="s">
        <v>23</v>
      </c>
      <c r="D325" t="s">
        <v>12</v>
      </c>
      <c r="E325">
        <v>3187</v>
      </c>
      <c r="F325">
        <v>1.25</v>
      </c>
      <c r="G325">
        <v>1.05</v>
      </c>
      <c r="H325">
        <v>3983.75</v>
      </c>
      <c r="I325">
        <v>3346.35</v>
      </c>
      <c r="J325">
        <v>637.39999999999895</v>
      </c>
      <c r="K325" t="s">
        <v>38</v>
      </c>
    </row>
    <row r="326" spans="1:11" x14ac:dyDescent="0.2">
      <c r="A326" s="1">
        <v>45575</v>
      </c>
      <c r="B326" t="s">
        <v>24</v>
      </c>
      <c r="C326" t="s">
        <v>17</v>
      </c>
      <c r="D326" t="s">
        <v>12</v>
      </c>
      <c r="E326">
        <v>5451</v>
      </c>
      <c r="F326">
        <v>1.25</v>
      </c>
      <c r="G326">
        <v>1.05</v>
      </c>
      <c r="H326">
        <v>6813.75</v>
      </c>
      <c r="I326">
        <v>5723.55</v>
      </c>
      <c r="J326">
        <v>1090.19999999999</v>
      </c>
      <c r="K326" t="s">
        <v>44</v>
      </c>
    </row>
    <row r="327" spans="1:11" x14ac:dyDescent="0.2">
      <c r="A327" s="1">
        <v>45608</v>
      </c>
      <c r="B327" t="s">
        <v>32</v>
      </c>
      <c r="C327" t="s">
        <v>11</v>
      </c>
      <c r="D327" t="s">
        <v>12</v>
      </c>
      <c r="E327">
        <v>4666</v>
      </c>
      <c r="F327">
        <v>1.25</v>
      </c>
      <c r="G327">
        <v>1.05</v>
      </c>
      <c r="H327">
        <v>5832.5</v>
      </c>
      <c r="I327">
        <v>4899.3</v>
      </c>
      <c r="J327">
        <v>933.19999999999902</v>
      </c>
      <c r="K327" t="s">
        <v>45</v>
      </c>
    </row>
    <row r="328" spans="1:11" x14ac:dyDescent="0.2">
      <c r="A328" s="1">
        <v>45595</v>
      </c>
      <c r="B328" t="s">
        <v>22</v>
      </c>
      <c r="C328" t="s">
        <v>17</v>
      </c>
      <c r="D328" t="s">
        <v>18</v>
      </c>
      <c r="E328">
        <v>5888</v>
      </c>
      <c r="F328">
        <v>1.2</v>
      </c>
      <c r="G328">
        <v>1</v>
      </c>
      <c r="H328">
        <v>7065.5999999999904</v>
      </c>
      <c r="I328">
        <v>5888</v>
      </c>
      <c r="J328">
        <v>1177.5999999999899</v>
      </c>
      <c r="K328" t="s">
        <v>44</v>
      </c>
    </row>
    <row r="329" spans="1:11" x14ac:dyDescent="0.2">
      <c r="A329" s="1">
        <v>45438</v>
      </c>
      <c r="B329" t="s">
        <v>19</v>
      </c>
      <c r="C329" t="s">
        <v>23</v>
      </c>
      <c r="D329" t="s">
        <v>12</v>
      </c>
      <c r="E329">
        <v>1848</v>
      </c>
      <c r="F329">
        <v>1.25</v>
      </c>
      <c r="G329">
        <v>1.05</v>
      </c>
      <c r="H329">
        <v>2310</v>
      </c>
      <c r="I329">
        <v>1940.4</v>
      </c>
      <c r="J329">
        <v>369.599999999999</v>
      </c>
      <c r="K329" t="s">
        <v>39</v>
      </c>
    </row>
    <row r="330" spans="1:11" x14ac:dyDescent="0.2">
      <c r="A330" s="1">
        <v>45295</v>
      </c>
      <c r="B330" t="s">
        <v>10</v>
      </c>
      <c r="C330" t="s">
        <v>23</v>
      </c>
      <c r="D330" t="s">
        <v>12</v>
      </c>
      <c r="E330">
        <v>4900</v>
      </c>
      <c r="F330">
        <v>1.25</v>
      </c>
      <c r="G330">
        <v>1.05</v>
      </c>
      <c r="H330">
        <v>6125</v>
      </c>
      <c r="I330">
        <v>5145</v>
      </c>
      <c r="J330">
        <v>980</v>
      </c>
      <c r="K330" t="s">
        <v>35</v>
      </c>
    </row>
    <row r="331" spans="1:11" x14ac:dyDescent="0.2">
      <c r="A331" s="1">
        <v>45326</v>
      </c>
      <c r="B331" t="s">
        <v>13</v>
      </c>
      <c r="C331" t="s">
        <v>11</v>
      </c>
      <c r="D331" t="s">
        <v>12</v>
      </c>
      <c r="E331">
        <v>5626</v>
      </c>
      <c r="F331">
        <v>1.25</v>
      </c>
      <c r="G331">
        <v>1.05</v>
      </c>
      <c r="H331">
        <v>7032.5</v>
      </c>
      <c r="I331">
        <v>5907.3</v>
      </c>
      <c r="J331">
        <v>1125.19999999999</v>
      </c>
      <c r="K331" t="s">
        <v>36</v>
      </c>
    </row>
    <row r="332" spans="1:11" x14ac:dyDescent="0.2">
      <c r="A332" s="1">
        <v>45483</v>
      </c>
      <c r="B332" t="s">
        <v>21</v>
      </c>
      <c r="C332" t="s">
        <v>23</v>
      </c>
      <c r="D332" t="s">
        <v>14</v>
      </c>
      <c r="E332">
        <v>5933</v>
      </c>
      <c r="F332">
        <v>0.9</v>
      </c>
      <c r="G332">
        <v>0.7</v>
      </c>
      <c r="H332">
        <v>5339.7</v>
      </c>
      <c r="I332">
        <v>4153.0999999999904</v>
      </c>
      <c r="J332">
        <v>1186.5999999999999</v>
      </c>
      <c r="K332" t="s">
        <v>41</v>
      </c>
    </row>
    <row r="333" spans="1:11" x14ac:dyDescent="0.2">
      <c r="A333" s="1">
        <v>45340</v>
      </c>
      <c r="B333" t="s">
        <v>25</v>
      </c>
      <c r="C333" t="s">
        <v>20</v>
      </c>
      <c r="D333" t="s">
        <v>18</v>
      </c>
      <c r="E333">
        <v>1316</v>
      </c>
      <c r="F333">
        <v>1.2</v>
      </c>
      <c r="G333">
        <v>1</v>
      </c>
      <c r="H333">
        <v>1579.2</v>
      </c>
      <c r="I333">
        <v>1316</v>
      </c>
      <c r="J333">
        <v>263.2</v>
      </c>
      <c r="K333" t="s">
        <v>36</v>
      </c>
    </row>
    <row r="334" spans="1:11" x14ac:dyDescent="0.2">
      <c r="A334" s="1">
        <v>45308</v>
      </c>
      <c r="B334" t="s">
        <v>15</v>
      </c>
      <c r="C334" t="s">
        <v>29</v>
      </c>
      <c r="D334" t="s">
        <v>18</v>
      </c>
      <c r="E334">
        <v>5722</v>
      </c>
      <c r="F334">
        <v>1.2</v>
      </c>
      <c r="G334">
        <v>1</v>
      </c>
      <c r="H334">
        <v>6866.4</v>
      </c>
      <c r="I334">
        <v>5722</v>
      </c>
      <c r="J334">
        <v>1144.3999999999901</v>
      </c>
      <c r="K334" t="s">
        <v>35</v>
      </c>
    </row>
    <row r="335" spans="1:11" x14ac:dyDescent="0.2">
      <c r="A335" s="1">
        <v>45463</v>
      </c>
      <c r="B335" t="s">
        <v>28</v>
      </c>
      <c r="C335" t="s">
        <v>11</v>
      </c>
      <c r="D335" t="s">
        <v>12</v>
      </c>
      <c r="E335">
        <v>1320</v>
      </c>
      <c r="F335">
        <v>1.25</v>
      </c>
      <c r="G335">
        <v>1.05</v>
      </c>
      <c r="H335">
        <v>1650</v>
      </c>
      <c r="I335">
        <v>1386</v>
      </c>
      <c r="J335">
        <v>264</v>
      </c>
      <c r="K335" t="s">
        <v>40</v>
      </c>
    </row>
    <row r="336" spans="1:11" x14ac:dyDescent="0.2">
      <c r="A336" s="1">
        <v>45511</v>
      </c>
      <c r="B336" t="s">
        <v>28</v>
      </c>
      <c r="C336" t="s">
        <v>17</v>
      </c>
      <c r="D336" t="s">
        <v>18</v>
      </c>
      <c r="E336">
        <v>692</v>
      </c>
      <c r="F336">
        <v>1.2</v>
      </c>
      <c r="G336">
        <v>1</v>
      </c>
      <c r="H336">
        <v>830.4</v>
      </c>
      <c r="I336">
        <v>692</v>
      </c>
      <c r="J336">
        <v>138.39999999999901</v>
      </c>
      <c r="K336" t="s">
        <v>42</v>
      </c>
    </row>
    <row r="337" spans="1:11" x14ac:dyDescent="0.2">
      <c r="A337" s="1">
        <v>45449</v>
      </c>
      <c r="B337" t="s">
        <v>19</v>
      </c>
      <c r="C337" t="s">
        <v>20</v>
      </c>
      <c r="D337" t="s">
        <v>12</v>
      </c>
      <c r="E337">
        <v>2276</v>
      </c>
      <c r="F337">
        <v>1.25</v>
      </c>
      <c r="G337">
        <v>1.05</v>
      </c>
      <c r="H337">
        <v>2845</v>
      </c>
      <c r="I337">
        <v>2389.8000000000002</v>
      </c>
      <c r="J337">
        <v>455.19999999999902</v>
      </c>
      <c r="K337" t="s">
        <v>40</v>
      </c>
    </row>
    <row r="338" spans="1:11" x14ac:dyDescent="0.2">
      <c r="A338" s="1">
        <v>45337</v>
      </c>
      <c r="B338" t="s">
        <v>26</v>
      </c>
      <c r="C338" t="s">
        <v>11</v>
      </c>
      <c r="D338" t="s">
        <v>18</v>
      </c>
      <c r="E338">
        <v>4145</v>
      </c>
      <c r="F338">
        <v>1.2</v>
      </c>
      <c r="G338">
        <v>1</v>
      </c>
      <c r="H338">
        <v>4974</v>
      </c>
      <c r="I338">
        <v>4145</v>
      </c>
      <c r="J338">
        <v>829</v>
      </c>
      <c r="K338" t="s">
        <v>36</v>
      </c>
    </row>
    <row r="339" spans="1:11" x14ac:dyDescent="0.2">
      <c r="A339" s="1">
        <v>45297</v>
      </c>
      <c r="B339" t="s">
        <v>26</v>
      </c>
      <c r="C339" t="s">
        <v>23</v>
      </c>
      <c r="D339" t="s">
        <v>14</v>
      </c>
      <c r="E339">
        <v>5124</v>
      </c>
      <c r="F339">
        <v>0.9</v>
      </c>
      <c r="G339">
        <v>0.7</v>
      </c>
      <c r="H339">
        <v>4611.6000000000004</v>
      </c>
      <c r="I339">
        <v>3586.7999999999902</v>
      </c>
      <c r="J339">
        <v>1024.8</v>
      </c>
      <c r="K339" t="s">
        <v>35</v>
      </c>
    </row>
    <row r="340" spans="1:11" x14ac:dyDescent="0.2">
      <c r="A340" s="1">
        <v>45390</v>
      </c>
      <c r="B340" t="s">
        <v>19</v>
      </c>
      <c r="C340" t="s">
        <v>23</v>
      </c>
      <c r="D340" t="s">
        <v>18</v>
      </c>
      <c r="E340">
        <v>750</v>
      </c>
      <c r="F340">
        <v>1.2</v>
      </c>
      <c r="G340">
        <v>1</v>
      </c>
      <c r="H340">
        <v>900</v>
      </c>
      <c r="I340">
        <v>750</v>
      </c>
      <c r="J340">
        <v>150</v>
      </c>
      <c r="K340" t="s">
        <v>38</v>
      </c>
    </row>
    <row r="341" spans="1:11" x14ac:dyDescent="0.2">
      <c r="A341" s="1">
        <v>45524</v>
      </c>
      <c r="B341" t="s">
        <v>32</v>
      </c>
      <c r="C341" t="s">
        <v>23</v>
      </c>
      <c r="D341" t="s">
        <v>14</v>
      </c>
      <c r="E341">
        <v>2288</v>
      </c>
      <c r="F341">
        <v>0.9</v>
      </c>
      <c r="G341">
        <v>0.7</v>
      </c>
      <c r="H341">
        <v>2059.1999999999998</v>
      </c>
      <c r="I341">
        <v>1601.6</v>
      </c>
      <c r="J341">
        <v>457.6</v>
      </c>
      <c r="K341" t="s">
        <v>42</v>
      </c>
    </row>
    <row r="342" spans="1:11" x14ac:dyDescent="0.2">
      <c r="A342" s="1">
        <v>45328</v>
      </c>
      <c r="B342" t="s">
        <v>24</v>
      </c>
      <c r="C342" t="s">
        <v>23</v>
      </c>
      <c r="D342" t="s">
        <v>18</v>
      </c>
      <c r="E342">
        <v>4200</v>
      </c>
      <c r="F342">
        <v>1.2</v>
      </c>
      <c r="G342">
        <v>1</v>
      </c>
      <c r="H342">
        <v>5040</v>
      </c>
      <c r="I342">
        <v>4200</v>
      </c>
      <c r="J342">
        <v>840</v>
      </c>
      <c r="K342" t="s">
        <v>36</v>
      </c>
    </row>
    <row r="343" spans="1:11" x14ac:dyDescent="0.2">
      <c r="A343" s="1">
        <v>45571</v>
      </c>
      <c r="B343" t="s">
        <v>30</v>
      </c>
      <c r="C343" t="s">
        <v>17</v>
      </c>
      <c r="D343" t="s">
        <v>12</v>
      </c>
      <c r="E343">
        <v>2963</v>
      </c>
      <c r="F343">
        <v>1.25</v>
      </c>
      <c r="G343">
        <v>1.05</v>
      </c>
      <c r="H343">
        <v>3703.75</v>
      </c>
      <c r="I343">
        <v>3111.15</v>
      </c>
      <c r="J343">
        <v>592.599999999999</v>
      </c>
      <c r="K343" t="s">
        <v>44</v>
      </c>
    </row>
    <row r="344" spans="1:11" x14ac:dyDescent="0.2">
      <c r="A344" s="1">
        <v>45640</v>
      </c>
      <c r="B344" t="s">
        <v>21</v>
      </c>
      <c r="C344" t="s">
        <v>20</v>
      </c>
      <c r="D344" t="s">
        <v>14</v>
      </c>
      <c r="E344">
        <v>5999</v>
      </c>
      <c r="F344">
        <v>0.9</v>
      </c>
      <c r="G344">
        <v>0.7</v>
      </c>
      <c r="H344">
        <v>5399.1</v>
      </c>
      <c r="I344">
        <v>4199.3</v>
      </c>
      <c r="J344">
        <v>1199.8</v>
      </c>
      <c r="K344" t="s">
        <v>46</v>
      </c>
    </row>
    <row r="345" spans="1:11" x14ac:dyDescent="0.2">
      <c r="A345" s="1">
        <v>45593</v>
      </c>
      <c r="B345" t="s">
        <v>28</v>
      </c>
      <c r="C345" t="s">
        <v>29</v>
      </c>
      <c r="D345" t="s">
        <v>12</v>
      </c>
      <c r="E345">
        <v>1667</v>
      </c>
      <c r="F345">
        <v>1.25</v>
      </c>
      <c r="G345">
        <v>1.05</v>
      </c>
      <c r="H345">
        <v>2083.75</v>
      </c>
      <c r="I345">
        <v>1750.35</v>
      </c>
      <c r="J345">
        <v>333.39999999999901</v>
      </c>
      <c r="K345" t="s">
        <v>44</v>
      </c>
    </row>
    <row r="346" spans="1:11" x14ac:dyDescent="0.2">
      <c r="A346" s="1">
        <v>45472</v>
      </c>
      <c r="B346" t="s">
        <v>28</v>
      </c>
      <c r="C346" t="s">
        <v>17</v>
      </c>
      <c r="D346" t="s">
        <v>18</v>
      </c>
      <c r="E346">
        <v>4393</v>
      </c>
      <c r="F346">
        <v>1.2</v>
      </c>
      <c r="G346">
        <v>1</v>
      </c>
      <c r="H346">
        <v>5271.5999999999904</v>
      </c>
      <c r="I346">
        <v>4393</v>
      </c>
      <c r="J346">
        <v>878.599999999999</v>
      </c>
      <c r="K346" t="s">
        <v>40</v>
      </c>
    </row>
    <row r="347" spans="1:11" x14ac:dyDescent="0.2">
      <c r="A347" s="1">
        <v>45386</v>
      </c>
      <c r="B347" t="s">
        <v>30</v>
      </c>
      <c r="C347" t="s">
        <v>17</v>
      </c>
      <c r="D347" t="s">
        <v>12</v>
      </c>
      <c r="E347">
        <v>1596</v>
      </c>
      <c r="F347">
        <v>1.25</v>
      </c>
      <c r="G347">
        <v>1.05</v>
      </c>
      <c r="H347">
        <v>1995</v>
      </c>
      <c r="I347">
        <v>1675.8</v>
      </c>
      <c r="J347">
        <v>319.19999999999902</v>
      </c>
      <c r="K347" t="s">
        <v>38</v>
      </c>
    </row>
    <row r="348" spans="1:11" x14ac:dyDescent="0.2">
      <c r="A348" s="1">
        <v>45390</v>
      </c>
      <c r="B348" t="s">
        <v>24</v>
      </c>
      <c r="C348" t="s">
        <v>29</v>
      </c>
      <c r="D348" t="s">
        <v>12</v>
      </c>
      <c r="E348">
        <v>3179</v>
      </c>
      <c r="F348">
        <v>1.25</v>
      </c>
      <c r="G348">
        <v>1.05</v>
      </c>
      <c r="H348">
        <v>3973.75</v>
      </c>
      <c r="I348">
        <v>3337.95</v>
      </c>
      <c r="J348">
        <v>635.79999999999905</v>
      </c>
      <c r="K348" t="s">
        <v>38</v>
      </c>
    </row>
    <row r="349" spans="1:11" x14ac:dyDescent="0.2">
      <c r="A349" s="1">
        <v>45479</v>
      </c>
      <c r="B349" t="s">
        <v>28</v>
      </c>
      <c r="C349" t="s">
        <v>29</v>
      </c>
      <c r="D349" t="s">
        <v>12</v>
      </c>
      <c r="E349">
        <v>2347</v>
      </c>
      <c r="F349">
        <v>1.25</v>
      </c>
      <c r="G349">
        <v>1.05</v>
      </c>
      <c r="H349">
        <v>2933.75</v>
      </c>
      <c r="I349">
        <v>2464.35</v>
      </c>
      <c r="J349">
        <v>469.4</v>
      </c>
      <c r="K349" t="s">
        <v>41</v>
      </c>
    </row>
    <row r="350" spans="1:11" x14ac:dyDescent="0.2">
      <c r="A350" s="1">
        <v>45407</v>
      </c>
      <c r="B350" t="s">
        <v>15</v>
      </c>
      <c r="C350" t="s">
        <v>23</v>
      </c>
      <c r="D350" t="s">
        <v>12</v>
      </c>
      <c r="E350">
        <v>4404</v>
      </c>
      <c r="F350">
        <v>1.25</v>
      </c>
      <c r="G350">
        <v>1.05</v>
      </c>
      <c r="H350">
        <v>5505</v>
      </c>
      <c r="I350">
        <v>4624.2</v>
      </c>
      <c r="J350">
        <v>880.8</v>
      </c>
      <c r="K350" t="s">
        <v>38</v>
      </c>
    </row>
    <row r="351" spans="1:11" x14ac:dyDescent="0.2">
      <c r="A351" s="1">
        <v>45482</v>
      </c>
      <c r="B351" t="s">
        <v>25</v>
      </c>
      <c r="C351" t="s">
        <v>17</v>
      </c>
      <c r="D351" t="s">
        <v>12</v>
      </c>
      <c r="E351">
        <v>1004</v>
      </c>
      <c r="F351">
        <v>1.25</v>
      </c>
      <c r="G351">
        <v>1.05</v>
      </c>
      <c r="H351">
        <v>1255</v>
      </c>
      <c r="I351">
        <v>1054.2</v>
      </c>
      <c r="J351">
        <v>200.79999999999899</v>
      </c>
      <c r="K351" t="s">
        <v>41</v>
      </c>
    </row>
    <row r="352" spans="1:11" x14ac:dyDescent="0.2">
      <c r="A352" s="1">
        <v>45544</v>
      </c>
      <c r="B352" t="s">
        <v>21</v>
      </c>
      <c r="C352" t="s">
        <v>11</v>
      </c>
      <c r="D352" t="s">
        <v>18</v>
      </c>
      <c r="E352">
        <v>2121</v>
      </c>
      <c r="F352">
        <v>1.2</v>
      </c>
      <c r="G352">
        <v>1</v>
      </c>
      <c r="H352">
        <v>2545.1999999999998</v>
      </c>
      <c r="I352">
        <v>2121</v>
      </c>
      <c r="J352">
        <v>424.19999999999902</v>
      </c>
      <c r="K352" t="s">
        <v>43</v>
      </c>
    </row>
    <row r="353" spans="1:11" x14ac:dyDescent="0.2">
      <c r="A353" s="1">
        <v>45452</v>
      </c>
      <c r="B353" t="s">
        <v>31</v>
      </c>
      <c r="C353" t="s">
        <v>29</v>
      </c>
      <c r="D353" t="s">
        <v>12</v>
      </c>
      <c r="E353">
        <v>2972</v>
      </c>
      <c r="F353">
        <v>1.25</v>
      </c>
      <c r="G353">
        <v>1.05</v>
      </c>
      <c r="H353">
        <v>3715</v>
      </c>
      <c r="I353">
        <v>3120.6</v>
      </c>
      <c r="J353">
        <v>594.4</v>
      </c>
      <c r="K353" t="s">
        <v>40</v>
      </c>
    </row>
    <row r="354" spans="1:11" x14ac:dyDescent="0.2">
      <c r="A354" s="1">
        <v>45547</v>
      </c>
      <c r="B354" t="s">
        <v>28</v>
      </c>
      <c r="C354" t="s">
        <v>29</v>
      </c>
      <c r="D354" t="s">
        <v>12</v>
      </c>
      <c r="E354">
        <v>3046</v>
      </c>
      <c r="F354">
        <v>1.25</v>
      </c>
      <c r="G354">
        <v>1.05</v>
      </c>
      <c r="H354">
        <v>3807.5</v>
      </c>
      <c r="I354">
        <v>3198.3</v>
      </c>
      <c r="J354">
        <v>609.19999999999902</v>
      </c>
      <c r="K354" t="s">
        <v>43</v>
      </c>
    </row>
    <row r="355" spans="1:11" x14ac:dyDescent="0.2">
      <c r="A355" s="1">
        <v>45614</v>
      </c>
      <c r="B355" t="s">
        <v>19</v>
      </c>
      <c r="C355" t="s">
        <v>20</v>
      </c>
      <c r="D355" t="s">
        <v>18</v>
      </c>
      <c r="E355">
        <v>1887</v>
      </c>
      <c r="F355">
        <v>1.2</v>
      </c>
      <c r="G355">
        <v>1</v>
      </c>
      <c r="H355">
        <v>2264.4</v>
      </c>
      <c r="I355">
        <v>1887</v>
      </c>
      <c r="J355">
        <v>377.4</v>
      </c>
      <c r="K355" t="s">
        <v>45</v>
      </c>
    </row>
    <row r="356" spans="1:11" x14ac:dyDescent="0.2">
      <c r="A356" s="1">
        <v>45419</v>
      </c>
      <c r="B356" t="s">
        <v>25</v>
      </c>
      <c r="C356" t="s">
        <v>11</v>
      </c>
      <c r="D356" t="s">
        <v>12</v>
      </c>
      <c r="E356">
        <v>3494</v>
      </c>
      <c r="F356">
        <v>1.25</v>
      </c>
      <c r="G356">
        <v>1.05</v>
      </c>
      <c r="H356">
        <v>4367.5</v>
      </c>
      <c r="I356">
        <v>3668.7</v>
      </c>
      <c r="J356">
        <v>698.79999999999905</v>
      </c>
      <c r="K356" t="s">
        <v>39</v>
      </c>
    </row>
    <row r="357" spans="1:11" x14ac:dyDescent="0.2">
      <c r="A357" s="1">
        <v>45309</v>
      </c>
      <c r="B357" t="s">
        <v>28</v>
      </c>
      <c r="C357" t="s">
        <v>11</v>
      </c>
      <c r="D357" t="s">
        <v>18</v>
      </c>
      <c r="E357">
        <v>4316</v>
      </c>
      <c r="F357">
        <v>1.2</v>
      </c>
      <c r="G357">
        <v>1</v>
      </c>
      <c r="H357">
        <v>5179.2</v>
      </c>
      <c r="I357">
        <v>4316</v>
      </c>
      <c r="J357">
        <v>863.19999999999902</v>
      </c>
      <c r="K357" t="s">
        <v>35</v>
      </c>
    </row>
    <row r="358" spans="1:11" x14ac:dyDescent="0.2">
      <c r="A358" s="1">
        <v>45572</v>
      </c>
      <c r="B358" t="s">
        <v>16</v>
      </c>
      <c r="C358" t="s">
        <v>29</v>
      </c>
      <c r="D358" t="s">
        <v>18</v>
      </c>
      <c r="E358">
        <v>5818</v>
      </c>
      <c r="F358">
        <v>1.2</v>
      </c>
      <c r="G358">
        <v>1</v>
      </c>
      <c r="H358">
        <v>6981.5999999999904</v>
      </c>
      <c r="I358">
        <v>5818</v>
      </c>
      <c r="J358">
        <v>1163.5999999999899</v>
      </c>
      <c r="K358" t="s">
        <v>44</v>
      </c>
    </row>
    <row r="359" spans="1:11" x14ac:dyDescent="0.2">
      <c r="A359" s="1">
        <v>45514</v>
      </c>
      <c r="B359" t="s">
        <v>10</v>
      </c>
      <c r="C359" t="s">
        <v>23</v>
      </c>
      <c r="D359" t="s">
        <v>18</v>
      </c>
      <c r="E359">
        <v>1217</v>
      </c>
      <c r="F359">
        <v>1.2</v>
      </c>
      <c r="G359">
        <v>1</v>
      </c>
      <c r="H359">
        <v>1460.3999999999901</v>
      </c>
      <c r="I359">
        <v>1217</v>
      </c>
      <c r="J359">
        <v>243.39999999999901</v>
      </c>
      <c r="K359" t="s">
        <v>42</v>
      </c>
    </row>
    <row r="360" spans="1:11" x14ac:dyDescent="0.2">
      <c r="A360" s="1">
        <v>45345</v>
      </c>
      <c r="B360" t="s">
        <v>15</v>
      </c>
      <c r="C360" t="s">
        <v>20</v>
      </c>
      <c r="D360" t="s">
        <v>18</v>
      </c>
      <c r="E360">
        <v>3984</v>
      </c>
      <c r="F360">
        <v>1.2</v>
      </c>
      <c r="G360">
        <v>1</v>
      </c>
      <c r="H360">
        <v>4780.8</v>
      </c>
      <c r="I360">
        <v>3984</v>
      </c>
      <c r="J360">
        <v>796.8</v>
      </c>
      <c r="K360" t="s">
        <v>36</v>
      </c>
    </row>
    <row r="361" spans="1:11" x14ac:dyDescent="0.2">
      <c r="A361" s="1">
        <v>45349</v>
      </c>
      <c r="B361" t="s">
        <v>25</v>
      </c>
      <c r="C361" t="s">
        <v>11</v>
      </c>
      <c r="D361" t="s">
        <v>12</v>
      </c>
      <c r="E361">
        <v>4934</v>
      </c>
      <c r="F361">
        <v>1.25</v>
      </c>
      <c r="G361">
        <v>1.05</v>
      </c>
      <c r="H361">
        <v>6167.5</v>
      </c>
      <c r="I361">
        <v>5180.7</v>
      </c>
      <c r="J361">
        <v>986.8</v>
      </c>
      <c r="K361" t="s">
        <v>36</v>
      </c>
    </row>
    <row r="362" spans="1:11" x14ac:dyDescent="0.2">
      <c r="A362" s="1">
        <v>45614</v>
      </c>
      <c r="B362" t="s">
        <v>22</v>
      </c>
      <c r="C362" t="s">
        <v>29</v>
      </c>
      <c r="D362" t="s">
        <v>18</v>
      </c>
      <c r="E362">
        <v>1158</v>
      </c>
      <c r="F362">
        <v>1.2</v>
      </c>
      <c r="G362">
        <v>1</v>
      </c>
      <c r="H362">
        <v>1389.6</v>
      </c>
      <c r="I362">
        <v>1158</v>
      </c>
      <c r="J362">
        <v>231.599999999999</v>
      </c>
      <c r="K362" t="s">
        <v>45</v>
      </c>
    </row>
    <row r="363" spans="1:11" x14ac:dyDescent="0.2">
      <c r="A363" s="1">
        <v>45651</v>
      </c>
      <c r="B363" t="s">
        <v>31</v>
      </c>
      <c r="C363" t="s">
        <v>11</v>
      </c>
      <c r="D363" t="s">
        <v>12</v>
      </c>
      <c r="E363">
        <v>5557</v>
      </c>
      <c r="F363">
        <v>1.25</v>
      </c>
      <c r="G363">
        <v>1.05</v>
      </c>
      <c r="H363">
        <v>6946.25</v>
      </c>
      <c r="I363">
        <v>5834.85</v>
      </c>
      <c r="J363">
        <v>1111.3999999999901</v>
      </c>
      <c r="K363" t="s">
        <v>46</v>
      </c>
    </row>
    <row r="364" spans="1:11" x14ac:dyDescent="0.2">
      <c r="A364" s="1">
        <v>45465</v>
      </c>
      <c r="B364" t="s">
        <v>10</v>
      </c>
      <c r="C364" t="s">
        <v>20</v>
      </c>
      <c r="D364" t="s">
        <v>12</v>
      </c>
      <c r="E364">
        <v>4508</v>
      </c>
      <c r="F364">
        <v>1.25</v>
      </c>
      <c r="G364">
        <v>1.05</v>
      </c>
      <c r="H364">
        <v>5635</v>
      </c>
      <c r="I364">
        <v>4733.3999999999996</v>
      </c>
      <c r="J364">
        <v>901.599999999999</v>
      </c>
      <c r="K364" t="s">
        <v>40</v>
      </c>
    </row>
    <row r="365" spans="1:11" x14ac:dyDescent="0.2">
      <c r="A365" s="1">
        <v>45571</v>
      </c>
      <c r="B365" t="s">
        <v>27</v>
      </c>
      <c r="C365" t="s">
        <v>20</v>
      </c>
      <c r="D365" t="s">
        <v>18</v>
      </c>
      <c r="E365">
        <v>5024</v>
      </c>
      <c r="F365">
        <v>1.2</v>
      </c>
      <c r="G365">
        <v>1</v>
      </c>
      <c r="H365">
        <v>6028.8</v>
      </c>
      <c r="I365">
        <v>5024</v>
      </c>
      <c r="J365">
        <v>1004.8</v>
      </c>
      <c r="K365" t="s">
        <v>44</v>
      </c>
    </row>
    <row r="366" spans="1:11" x14ac:dyDescent="0.2">
      <c r="A366" s="1">
        <v>45405</v>
      </c>
      <c r="B366" t="s">
        <v>19</v>
      </c>
      <c r="C366" t="s">
        <v>17</v>
      </c>
      <c r="D366" t="s">
        <v>12</v>
      </c>
      <c r="E366">
        <v>5494</v>
      </c>
      <c r="F366">
        <v>1.25</v>
      </c>
      <c r="G366">
        <v>1.05</v>
      </c>
      <c r="H366">
        <v>6867.5</v>
      </c>
      <c r="I366">
        <v>5768.7</v>
      </c>
      <c r="J366">
        <v>1098.8</v>
      </c>
      <c r="K366" t="s">
        <v>38</v>
      </c>
    </row>
    <row r="367" spans="1:11" x14ac:dyDescent="0.2">
      <c r="A367" s="1">
        <v>45579</v>
      </c>
      <c r="B367" t="s">
        <v>19</v>
      </c>
      <c r="C367" t="s">
        <v>29</v>
      </c>
      <c r="D367" t="s">
        <v>18</v>
      </c>
      <c r="E367">
        <v>4734</v>
      </c>
      <c r="F367">
        <v>1.2</v>
      </c>
      <c r="G367">
        <v>1</v>
      </c>
      <c r="H367">
        <v>5680.8</v>
      </c>
      <c r="I367">
        <v>4734</v>
      </c>
      <c r="J367">
        <v>946.8</v>
      </c>
      <c r="K367" t="s">
        <v>44</v>
      </c>
    </row>
    <row r="368" spans="1:11" x14ac:dyDescent="0.2">
      <c r="A368" s="1">
        <v>45633</v>
      </c>
      <c r="B368" t="s">
        <v>21</v>
      </c>
      <c r="C368" t="s">
        <v>20</v>
      </c>
      <c r="D368" t="s">
        <v>18</v>
      </c>
      <c r="E368">
        <v>4264</v>
      </c>
      <c r="F368">
        <v>1.2</v>
      </c>
      <c r="G368">
        <v>1</v>
      </c>
      <c r="H368">
        <v>5116.8</v>
      </c>
      <c r="I368">
        <v>4264</v>
      </c>
      <c r="J368">
        <v>852.8</v>
      </c>
      <c r="K368" t="s">
        <v>46</v>
      </c>
    </row>
    <row r="369" spans="1:11" x14ac:dyDescent="0.2">
      <c r="A369" s="1">
        <v>45442</v>
      </c>
      <c r="B369" t="s">
        <v>30</v>
      </c>
      <c r="C369" t="s">
        <v>17</v>
      </c>
      <c r="D369" t="s">
        <v>14</v>
      </c>
      <c r="E369">
        <v>3489</v>
      </c>
      <c r="F369">
        <v>0.9</v>
      </c>
      <c r="G369">
        <v>0.7</v>
      </c>
      <c r="H369">
        <v>3140.1</v>
      </c>
      <c r="I369">
        <v>2442.2999999999902</v>
      </c>
      <c r="J369">
        <v>697.8</v>
      </c>
      <c r="K369" t="s">
        <v>39</v>
      </c>
    </row>
    <row r="370" spans="1:11" x14ac:dyDescent="0.2">
      <c r="A370" s="1">
        <v>45418</v>
      </c>
      <c r="B370" t="s">
        <v>10</v>
      </c>
      <c r="C370" t="s">
        <v>17</v>
      </c>
      <c r="D370" t="s">
        <v>14</v>
      </c>
      <c r="E370">
        <v>5137</v>
      </c>
      <c r="F370">
        <v>0.9</v>
      </c>
      <c r="G370">
        <v>0.7</v>
      </c>
      <c r="H370">
        <v>4623.3</v>
      </c>
      <c r="I370">
        <v>3595.8999999999901</v>
      </c>
      <c r="J370">
        <v>1027.4000000000001</v>
      </c>
      <c r="K370" t="s">
        <v>39</v>
      </c>
    </row>
    <row r="371" spans="1:11" x14ac:dyDescent="0.2">
      <c r="A371" s="1">
        <v>45446</v>
      </c>
      <c r="B371" t="s">
        <v>25</v>
      </c>
      <c r="C371" t="s">
        <v>11</v>
      </c>
      <c r="D371" t="s">
        <v>12</v>
      </c>
      <c r="E371">
        <v>2604</v>
      </c>
      <c r="F371">
        <v>1.25</v>
      </c>
      <c r="G371">
        <v>1.05</v>
      </c>
      <c r="H371">
        <v>3255</v>
      </c>
      <c r="I371">
        <v>2734.2</v>
      </c>
      <c r="J371">
        <v>520.79999999999905</v>
      </c>
      <c r="K371" t="s">
        <v>40</v>
      </c>
    </row>
    <row r="372" spans="1:11" x14ac:dyDescent="0.2">
      <c r="A372" s="1">
        <v>45564</v>
      </c>
      <c r="B372" t="s">
        <v>24</v>
      </c>
      <c r="C372" t="s">
        <v>11</v>
      </c>
      <c r="D372" t="s">
        <v>12</v>
      </c>
      <c r="E372">
        <v>1755</v>
      </c>
      <c r="F372">
        <v>1.25</v>
      </c>
      <c r="G372">
        <v>1.05</v>
      </c>
      <c r="H372">
        <v>2193.75</v>
      </c>
      <c r="I372">
        <v>1842.75</v>
      </c>
      <c r="J372">
        <v>351</v>
      </c>
      <c r="K372" t="s">
        <v>43</v>
      </c>
    </row>
    <row r="373" spans="1:11" x14ac:dyDescent="0.2">
      <c r="A373" s="1">
        <v>45395</v>
      </c>
      <c r="B373" t="s">
        <v>19</v>
      </c>
      <c r="C373" t="s">
        <v>17</v>
      </c>
      <c r="D373" t="s">
        <v>18</v>
      </c>
      <c r="E373">
        <v>2982</v>
      </c>
      <c r="F373">
        <v>1.2</v>
      </c>
      <c r="G373">
        <v>1</v>
      </c>
      <c r="H373">
        <v>3578.4</v>
      </c>
      <c r="I373">
        <v>2982</v>
      </c>
      <c r="J373">
        <v>596.4</v>
      </c>
      <c r="K373" t="s">
        <v>38</v>
      </c>
    </row>
    <row r="374" spans="1:11" x14ac:dyDescent="0.2">
      <c r="A374" s="1">
        <v>45590</v>
      </c>
      <c r="B374" t="s">
        <v>25</v>
      </c>
      <c r="C374" t="s">
        <v>11</v>
      </c>
      <c r="D374" t="s">
        <v>12</v>
      </c>
      <c r="E374">
        <v>883</v>
      </c>
      <c r="F374">
        <v>1.25</v>
      </c>
      <c r="G374">
        <v>1.05</v>
      </c>
      <c r="H374">
        <v>1103.75</v>
      </c>
      <c r="I374">
        <v>927.15</v>
      </c>
      <c r="J374">
        <v>176.599999999999</v>
      </c>
      <c r="K374" t="s">
        <v>44</v>
      </c>
    </row>
    <row r="375" spans="1:11" x14ac:dyDescent="0.2">
      <c r="A375" s="1">
        <v>45537</v>
      </c>
      <c r="B375" t="s">
        <v>32</v>
      </c>
      <c r="C375" t="s">
        <v>20</v>
      </c>
      <c r="D375" t="s">
        <v>18</v>
      </c>
      <c r="E375">
        <v>3107</v>
      </c>
      <c r="F375">
        <v>1.2</v>
      </c>
      <c r="G375">
        <v>1</v>
      </c>
      <c r="H375">
        <v>3728.3999999999901</v>
      </c>
      <c r="I375">
        <v>3107</v>
      </c>
      <c r="J375">
        <v>621.39999999999895</v>
      </c>
      <c r="K375" t="s">
        <v>43</v>
      </c>
    </row>
    <row r="376" spans="1:11" x14ac:dyDescent="0.2">
      <c r="A376" s="1">
        <v>45467</v>
      </c>
      <c r="B376" t="s">
        <v>25</v>
      </c>
      <c r="C376" t="s">
        <v>23</v>
      </c>
      <c r="D376" t="s">
        <v>18</v>
      </c>
      <c r="E376">
        <v>693</v>
      </c>
      <c r="F376">
        <v>1.2</v>
      </c>
      <c r="G376">
        <v>1</v>
      </c>
      <c r="H376">
        <v>831.6</v>
      </c>
      <c r="I376">
        <v>693</v>
      </c>
      <c r="J376">
        <v>138.6</v>
      </c>
      <c r="K376" t="s">
        <v>40</v>
      </c>
    </row>
    <row r="377" spans="1:11" x14ac:dyDescent="0.2">
      <c r="A377" s="1">
        <v>45330</v>
      </c>
      <c r="B377" t="s">
        <v>32</v>
      </c>
      <c r="C377" t="s">
        <v>20</v>
      </c>
      <c r="D377" t="s">
        <v>18</v>
      </c>
      <c r="E377">
        <v>4307</v>
      </c>
      <c r="F377">
        <v>1.2</v>
      </c>
      <c r="G377">
        <v>1</v>
      </c>
      <c r="H377">
        <v>5168.3999999999996</v>
      </c>
      <c r="I377">
        <v>4307</v>
      </c>
      <c r="J377">
        <v>861.39999999999895</v>
      </c>
      <c r="K377" t="s">
        <v>36</v>
      </c>
    </row>
    <row r="378" spans="1:11" x14ac:dyDescent="0.2">
      <c r="A378" s="1">
        <v>45461</v>
      </c>
      <c r="B378" t="s">
        <v>16</v>
      </c>
      <c r="C378" t="s">
        <v>17</v>
      </c>
      <c r="D378" t="s">
        <v>12</v>
      </c>
      <c r="E378">
        <v>4219</v>
      </c>
      <c r="F378">
        <v>1.25</v>
      </c>
      <c r="G378">
        <v>1.05</v>
      </c>
      <c r="H378">
        <v>5273.75</v>
      </c>
      <c r="I378">
        <v>4429.95</v>
      </c>
      <c r="J378">
        <v>843.8</v>
      </c>
      <c r="K378" t="s">
        <v>40</v>
      </c>
    </row>
    <row r="379" spans="1:11" x14ac:dyDescent="0.2">
      <c r="A379" s="1">
        <v>45538</v>
      </c>
      <c r="B379" t="s">
        <v>13</v>
      </c>
      <c r="C379" t="s">
        <v>17</v>
      </c>
      <c r="D379" t="s">
        <v>12</v>
      </c>
      <c r="E379">
        <v>3081</v>
      </c>
      <c r="F379">
        <v>1.25</v>
      </c>
      <c r="G379">
        <v>1.05</v>
      </c>
      <c r="H379">
        <v>3851.25</v>
      </c>
      <c r="I379">
        <v>3235.05</v>
      </c>
      <c r="J379">
        <v>616.19999999999902</v>
      </c>
      <c r="K379" t="s">
        <v>43</v>
      </c>
    </row>
    <row r="380" spans="1:11" x14ac:dyDescent="0.2">
      <c r="A380" s="1">
        <v>45317</v>
      </c>
      <c r="B380" t="s">
        <v>13</v>
      </c>
      <c r="C380" t="s">
        <v>20</v>
      </c>
      <c r="D380" t="s">
        <v>12</v>
      </c>
      <c r="E380">
        <v>3065</v>
      </c>
      <c r="F380">
        <v>1.25</v>
      </c>
      <c r="G380">
        <v>1.05</v>
      </c>
      <c r="H380">
        <v>3831.25</v>
      </c>
      <c r="I380">
        <v>3218.25</v>
      </c>
      <c r="J380">
        <v>613</v>
      </c>
      <c r="K380" t="s">
        <v>35</v>
      </c>
    </row>
    <row r="381" spans="1:11" x14ac:dyDescent="0.2">
      <c r="A381" s="1">
        <v>45646</v>
      </c>
      <c r="B381" t="s">
        <v>27</v>
      </c>
      <c r="C381" t="s">
        <v>11</v>
      </c>
      <c r="D381" t="s">
        <v>12</v>
      </c>
      <c r="E381">
        <v>3263</v>
      </c>
      <c r="F381">
        <v>1.25</v>
      </c>
      <c r="G381">
        <v>1.05</v>
      </c>
      <c r="H381">
        <v>4078.75</v>
      </c>
      <c r="I381">
        <v>3426.15</v>
      </c>
      <c r="J381">
        <v>652.599999999999</v>
      </c>
      <c r="K381" t="s">
        <v>46</v>
      </c>
    </row>
    <row r="382" spans="1:11" x14ac:dyDescent="0.2">
      <c r="A382" s="1">
        <v>45597</v>
      </c>
      <c r="B382" t="s">
        <v>22</v>
      </c>
      <c r="C382" t="s">
        <v>11</v>
      </c>
      <c r="D382" t="s">
        <v>14</v>
      </c>
      <c r="E382">
        <v>3298</v>
      </c>
      <c r="F382">
        <v>0.9</v>
      </c>
      <c r="G382">
        <v>0.7</v>
      </c>
      <c r="H382">
        <v>2968.2</v>
      </c>
      <c r="I382">
        <v>2308.6</v>
      </c>
      <c r="J382">
        <v>659.6</v>
      </c>
      <c r="K382" t="s">
        <v>45</v>
      </c>
    </row>
    <row r="383" spans="1:11" x14ac:dyDescent="0.2">
      <c r="A383" s="1">
        <v>45304</v>
      </c>
      <c r="B383" t="s">
        <v>27</v>
      </c>
      <c r="C383" t="s">
        <v>17</v>
      </c>
      <c r="D383" t="s">
        <v>12</v>
      </c>
      <c r="E383">
        <v>2839</v>
      </c>
      <c r="F383">
        <v>1.25</v>
      </c>
      <c r="G383">
        <v>1.05</v>
      </c>
      <c r="H383">
        <v>3548.75</v>
      </c>
      <c r="I383">
        <v>2980.95</v>
      </c>
      <c r="J383">
        <v>567.79999999999905</v>
      </c>
      <c r="K383" t="s">
        <v>35</v>
      </c>
    </row>
    <row r="384" spans="1:11" x14ac:dyDescent="0.2">
      <c r="A384" s="1">
        <v>45607</v>
      </c>
      <c r="B384" t="s">
        <v>32</v>
      </c>
      <c r="C384" t="s">
        <v>29</v>
      </c>
      <c r="D384" t="s">
        <v>12</v>
      </c>
      <c r="E384">
        <v>3906</v>
      </c>
      <c r="F384">
        <v>1.25</v>
      </c>
      <c r="G384">
        <v>1.05</v>
      </c>
      <c r="H384">
        <v>4882.5</v>
      </c>
      <c r="I384">
        <v>4101.3</v>
      </c>
      <c r="J384">
        <v>781.19999999999902</v>
      </c>
      <c r="K384" t="s">
        <v>45</v>
      </c>
    </row>
    <row r="385" spans="1:11" x14ac:dyDescent="0.2">
      <c r="A385" s="1">
        <v>45604</v>
      </c>
      <c r="B385" t="s">
        <v>10</v>
      </c>
      <c r="C385" t="s">
        <v>11</v>
      </c>
      <c r="D385" t="s">
        <v>12</v>
      </c>
      <c r="E385">
        <v>1231</v>
      </c>
      <c r="F385">
        <v>1.25</v>
      </c>
      <c r="G385">
        <v>1.05</v>
      </c>
      <c r="H385">
        <v>1538.75</v>
      </c>
      <c r="I385">
        <v>1292.55</v>
      </c>
      <c r="J385">
        <v>246.2</v>
      </c>
      <c r="K385" t="s">
        <v>45</v>
      </c>
    </row>
    <row r="386" spans="1:11" x14ac:dyDescent="0.2">
      <c r="A386" s="1">
        <v>45327</v>
      </c>
      <c r="B386" t="s">
        <v>28</v>
      </c>
      <c r="C386" t="s">
        <v>20</v>
      </c>
      <c r="D386" t="s">
        <v>18</v>
      </c>
      <c r="E386">
        <v>3372</v>
      </c>
      <c r="F386">
        <v>1.2</v>
      </c>
      <c r="G386">
        <v>1</v>
      </c>
      <c r="H386">
        <v>4046.3999999999901</v>
      </c>
      <c r="I386">
        <v>3372</v>
      </c>
      <c r="J386">
        <v>674.39999999999895</v>
      </c>
      <c r="K386" t="s">
        <v>36</v>
      </c>
    </row>
    <row r="387" spans="1:11" x14ac:dyDescent="0.2">
      <c r="A387" s="1">
        <v>45464</v>
      </c>
      <c r="B387" t="s">
        <v>24</v>
      </c>
      <c r="C387" t="s">
        <v>11</v>
      </c>
      <c r="D387" t="s">
        <v>18</v>
      </c>
      <c r="E387">
        <v>3620</v>
      </c>
      <c r="F387">
        <v>1.2</v>
      </c>
      <c r="G387">
        <v>1</v>
      </c>
      <c r="H387">
        <v>4344</v>
      </c>
      <c r="I387">
        <v>3620</v>
      </c>
      <c r="J387">
        <v>724</v>
      </c>
      <c r="K387" t="s">
        <v>40</v>
      </c>
    </row>
    <row r="388" spans="1:11" x14ac:dyDescent="0.2">
      <c r="A388" s="1">
        <v>45311</v>
      </c>
      <c r="B388" t="s">
        <v>28</v>
      </c>
      <c r="C388" t="s">
        <v>20</v>
      </c>
      <c r="D388" t="s">
        <v>12</v>
      </c>
      <c r="E388">
        <v>5280</v>
      </c>
      <c r="F388">
        <v>1.25</v>
      </c>
      <c r="G388">
        <v>1.05</v>
      </c>
      <c r="H388">
        <v>6600</v>
      </c>
      <c r="I388">
        <v>5544</v>
      </c>
      <c r="J388">
        <v>1056</v>
      </c>
      <c r="K388" t="s">
        <v>35</v>
      </c>
    </row>
    <row r="389" spans="1:11" x14ac:dyDescent="0.2">
      <c r="A389" s="1">
        <v>45612</v>
      </c>
      <c r="B389" t="s">
        <v>26</v>
      </c>
      <c r="C389" t="s">
        <v>17</v>
      </c>
      <c r="D389" t="s">
        <v>12</v>
      </c>
      <c r="E389">
        <v>4677</v>
      </c>
      <c r="F389">
        <v>1.25</v>
      </c>
      <c r="G389">
        <v>1.05</v>
      </c>
      <c r="H389">
        <v>5846.25</v>
      </c>
      <c r="I389">
        <v>4910.8500000000004</v>
      </c>
      <c r="J389">
        <v>935.39999999999895</v>
      </c>
      <c r="K389" t="s">
        <v>45</v>
      </c>
    </row>
    <row r="390" spans="1:11" x14ac:dyDescent="0.2">
      <c r="A390" s="1">
        <v>45555</v>
      </c>
      <c r="B390" t="s">
        <v>28</v>
      </c>
      <c r="C390" t="s">
        <v>11</v>
      </c>
      <c r="D390" t="s">
        <v>12</v>
      </c>
      <c r="E390">
        <v>3104</v>
      </c>
      <c r="F390">
        <v>1.25</v>
      </c>
      <c r="G390">
        <v>1.05</v>
      </c>
      <c r="H390">
        <v>3880</v>
      </c>
      <c r="I390">
        <v>3259.2</v>
      </c>
      <c r="J390">
        <v>620.79999999999905</v>
      </c>
      <c r="K390" t="s">
        <v>43</v>
      </c>
    </row>
    <row r="391" spans="1:11" x14ac:dyDescent="0.2">
      <c r="A391" s="1">
        <v>45433</v>
      </c>
      <c r="B391" t="s">
        <v>21</v>
      </c>
      <c r="C391" t="s">
        <v>20</v>
      </c>
      <c r="D391" t="s">
        <v>12</v>
      </c>
      <c r="E391">
        <v>2882</v>
      </c>
      <c r="F391">
        <v>1.25</v>
      </c>
      <c r="G391">
        <v>1.05</v>
      </c>
      <c r="H391">
        <v>3602.5</v>
      </c>
      <c r="I391">
        <v>3026.1</v>
      </c>
      <c r="J391">
        <v>576.4</v>
      </c>
      <c r="K391" t="s">
        <v>39</v>
      </c>
    </row>
    <row r="392" spans="1:11" x14ac:dyDescent="0.2">
      <c r="A392" s="1">
        <v>45434</v>
      </c>
      <c r="B392" t="s">
        <v>28</v>
      </c>
      <c r="C392" t="s">
        <v>17</v>
      </c>
      <c r="D392" t="s">
        <v>18</v>
      </c>
      <c r="E392">
        <v>1031</v>
      </c>
      <c r="F392">
        <v>1.2</v>
      </c>
      <c r="G392">
        <v>1</v>
      </c>
      <c r="H392">
        <v>1237.2</v>
      </c>
      <c r="I392">
        <v>1031</v>
      </c>
      <c r="J392">
        <v>206.2</v>
      </c>
      <c r="K392" t="s">
        <v>39</v>
      </c>
    </row>
    <row r="393" spans="1:11" x14ac:dyDescent="0.2">
      <c r="A393" s="1">
        <v>45383</v>
      </c>
      <c r="B393" t="s">
        <v>27</v>
      </c>
      <c r="C393" t="s">
        <v>29</v>
      </c>
      <c r="D393" t="s">
        <v>18</v>
      </c>
      <c r="E393">
        <v>4816</v>
      </c>
      <c r="F393">
        <v>1.2</v>
      </c>
      <c r="G393">
        <v>1</v>
      </c>
      <c r="H393">
        <v>5779.2</v>
      </c>
      <c r="I393">
        <v>4816</v>
      </c>
      <c r="J393">
        <v>963.19999999999902</v>
      </c>
      <c r="K393" t="s">
        <v>38</v>
      </c>
    </row>
    <row r="394" spans="1:11" x14ac:dyDescent="0.2">
      <c r="A394" s="1">
        <v>45645</v>
      </c>
      <c r="B394" t="s">
        <v>19</v>
      </c>
      <c r="C394" t="s">
        <v>20</v>
      </c>
      <c r="D394" t="s">
        <v>12</v>
      </c>
      <c r="E394">
        <v>1134</v>
      </c>
      <c r="F394">
        <v>1.25</v>
      </c>
      <c r="G394">
        <v>1.05</v>
      </c>
      <c r="H394">
        <v>1417.5</v>
      </c>
      <c r="I394">
        <v>1190.7</v>
      </c>
      <c r="J394">
        <v>226.79999999999899</v>
      </c>
      <c r="K394" t="s">
        <v>46</v>
      </c>
    </row>
    <row r="395" spans="1:11" x14ac:dyDescent="0.2">
      <c r="A395" s="1">
        <v>45613</v>
      </c>
      <c r="B395" t="s">
        <v>15</v>
      </c>
      <c r="C395" t="s">
        <v>29</v>
      </c>
      <c r="D395" t="s">
        <v>12</v>
      </c>
      <c r="E395">
        <v>2269</v>
      </c>
      <c r="F395">
        <v>1.25</v>
      </c>
      <c r="G395">
        <v>1.05</v>
      </c>
      <c r="H395">
        <v>2836.25</v>
      </c>
      <c r="I395">
        <v>2382.4499999999998</v>
      </c>
      <c r="J395">
        <v>453.79999999999899</v>
      </c>
      <c r="K395" t="s">
        <v>45</v>
      </c>
    </row>
    <row r="396" spans="1:11" x14ac:dyDescent="0.2">
      <c r="A396" s="1">
        <v>45579</v>
      </c>
      <c r="B396" t="s">
        <v>19</v>
      </c>
      <c r="C396" t="s">
        <v>29</v>
      </c>
      <c r="D396" t="s">
        <v>14</v>
      </c>
      <c r="E396">
        <v>4304</v>
      </c>
      <c r="F396">
        <v>0.9</v>
      </c>
      <c r="G396">
        <v>0.7</v>
      </c>
      <c r="H396">
        <v>3873.6</v>
      </c>
      <c r="I396">
        <v>3012.7999999999902</v>
      </c>
      <c r="J396">
        <v>860.8</v>
      </c>
      <c r="K396" t="s">
        <v>44</v>
      </c>
    </row>
    <row r="397" spans="1:11" x14ac:dyDescent="0.2">
      <c r="A397" s="1">
        <v>45506</v>
      </c>
      <c r="B397" t="s">
        <v>13</v>
      </c>
      <c r="C397" t="s">
        <v>23</v>
      </c>
      <c r="D397" t="s">
        <v>12</v>
      </c>
      <c r="E397">
        <v>2870</v>
      </c>
      <c r="F397">
        <v>1.25</v>
      </c>
      <c r="G397">
        <v>1.05</v>
      </c>
      <c r="H397">
        <v>3587.5</v>
      </c>
      <c r="I397">
        <v>3013.5</v>
      </c>
      <c r="J397">
        <v>574</v>
      </c>
      <c r="K397" t="s">
        <v>42</v>
      </c>
    </row>
    <row r="398" spans="1:11" x14ac:dyDescent="0.2">
      <c r="A398" s="1">
        <v>45633</v>
      </c>
      <c r="B398" t="s">
        <v>15</v>
      </c>
      <c r="C398" t="s">
        <v>11</v>
      </c>
      <c r="D398" t="s">
        <v>18</v>
      </c>
      <c r="E398">
        <v>502</v>
      </c>
      <c r="F398">
        <v>1.2</v>
      </c>
      <c r="G398">
        <v>1</v>
      </c>
      <c r="H398">
        <v>602.4</v>
      </c>
      <c r="I398">
        <v>502</v>
      </c>
      <c r="J398">
        <v>100.399999999999</v>
      </c>
      <c r="K398" t="s">
        <v>46</v>
      </c>
    </row>
    <row r="399" spans="1:11" x14ac:dyDescent="0.2">
      <c r="A399" s="1">
        <v>45342</v>
      </c>
      <c r="B399" t="s">
        <v>30</v>
      </c>
      <c r="C399" t="s">
        <v>20</v>
      </c>
      <c r="D399" t="s">
        <v>12</v>
      </c>
      <c r="E399">
        <v>705</v>
      </c>
      <c r="F399">
        <v>1.25</v>
      </c>
      <c r="G399">
        <v>1.05</v>
      </c>
      <c r="H399">
        <v>881.25</v>
      </c>
      <c r="I399">
        <v>740.25</v>
      </c>
      <c r="J399">
        <v>141</v>
      </c>
      <c r="K399" t="s">
        <v>36</v>
      </c>
    </row>
    <row r="400" spans="1:11" x14ac:dyDescent="0.2">
      <c r="A400" s="1">
        <v>45444</v>
      </c>
      <c r="B400" t="s">
        <v>24</v>
      </c>
      <c r="C400" t="s">
        <v>29</v>
      </c>
      <c r="D400" t="s">
        <v>12</v>
      </c>
      <c r="E400">
        <v>4635</v>
      </c>
      <c r="F400">
        <v>1.25</v>
      </c>
      <c r="G400">
        <v>1.05</v>
      </c>
      <c r="H400">
        <v>5793.75</v>
      </c>
      <c r="I400">
        <v>4866.75</v>
      </c>
      <c r="J400">
        <v>927</v>
      </c>
      <c r="K400" t="s">
        <v>40</v>
      </c>
    </row>
    <row r="401" spans="1:11" x14ac:dyDescent="0.2">
      <c r="A401" s="1">
        <v>45477</v>
      </c>
      <c r="B401" t="s">
        <v>24</v>
      </c>
      <c r="C401" t="s">
        <v>23</v>
      </c>
      <c r="D401" t="s">
        <v>12</v>
      </c>
      <c r="E401">
        <v>3121</v>
      </c>
      <c r="F401">
        <v>1.25</v>
      </c>
      <c r="G401">
        <v>1.05</v>
      </c>
      <c r="H401">
        <v>3901.25</v>
      </c>
      <c r="I401">
        <v>3277.05</v>
      </c>
      <c r="J401">
        <v>624.19999999999902</v>
      </c>
      <c r="K401" t="s">
        <v>41</v>
      </c>
    </row>
    <row r="402" spans="1:11" x14ac:dyDescent="0.2">
      <c r="A402" s="1">
        <v>45354</v>
      </c>
      <c r="B402" t="s">
        <v>21</v>
      </c>
      <c r="C402" t="s">
        <v>17</v>
      </c>
      <c r="D402" t="s">
        <v>18</v>
      </c>
      <c r="E402">
        <v>5239</v>
      </c>
      <c r="F402">
        <v>1.2</v>
      </c>
      <c r="G402">
        <v>1</v>
      </c>
      <c r="H402">
        <v>6286.8</v>
      </c>
      <c r="I402">
        <v>5239</v>
      </c>
      <c r="J402">
        <v>1047.8</v>
      </c>
      <c r="K402" t="s">
        <v>37</v>
      </c>
    </row>
    <row r="403" spans="1:11" x14ac:dyDescent="0.2">
      <c r="A403" s="1">
        <v>45481</v>
      </c>
      <c r="B403" t="s">
        <v>10</v>
      </c>
      <c r="C403" t="s">
        <v>20</v>
      </c>
      <c r="D403" t="s">
        <v>14</v>
      </c>
      <c r="E403">
        <v>3390</v>
      </c>
      <c r="F403">
        <v>0.9</v>
      </c>
      <c r="G403">
        <v>0.7</v>
      </c>
      <c r="H403">
        <v>3051</v>
      </c>
      <c r="I403">
        <v>2373</v>
      </c>
      <c r="J403">
        <v>678</v>
      </c>
      <c r="K403" t="s">
        <v>41</v>
      </c>
    </row>
    <row r="404" spans="1:11" x14ac:dyDescent="0.2">
      <c r="A404" s="1">
        <v>45416</v>
      </c>
      <c r="B404" t="s">
        <v>27</v>
      </c>
      <c r="C404" t="s">
        <v>29</v>
      </c>
      <c r="D404" t="s">
        <v>12</v>
      </c>
      <c r="E404">
        <v>3693</v>
      </c>
      <c r="F404">
        <v>1.25</v>
      </c>
      <c r="G404">
        <v>1.05</v>
      </c>
      <c r="H404">
        <v>4616.25</v>
      </c>
      <c r="I404">
        <v>3877.65</v>
      </c>
      <c r="J404">
        <v>738.599999999999</v>
      </c>
      <c r="K404" t="s">
        <v>39</v>
      </c>
    </row>
    <row r="405" spans="1:11" x14ac:dyDescent="0.2">
      <c r="A405" s="1">
        <v>45441</v>
      </c>
      <c r="B405" t="s">
        <v>13</v>
      </c>
      <c r="C405" t="s">
        <v>11</v>
      </c>
      <c r="D405" t="s">
        <v>12</v>
      </c>
      <c r="E405">
        <v>3166</v>
      </c>
      <c r="F405">
        <v>1.25</v>
      </c>
      <c r="G405">
        <v>1.05</v>
      </c>
      <c r="H405">
        <v>3957.5</v>
      </c>
      <c r="I405">
        <v>3324.3</v>
      </c>
      <c r="J405">
        <v>633.19999999999902</v>
      </c>
      <c r="K405" t="s">
        <v>39</v>
      </c>
    </row>
    <row r="406" spans="1:11" x14ac:dyDescent="0.2">
      <c r="A406" s="1">
        <v>45605</v>
      </c>
      <c r="B406" t="s">
        <v>16</v>
      </c>
      <c r="C406" t="s">
        <v>23</v>
      </c>
      <c r="D406" t="s">
        <v>12</v>
      </c>
      <c r="E406">
        <v>3806</v>
      </c>
      <c r="F406">
        <v>1.25</v>
      </c>
      <c r="G406">
        <v>1.05</v>
      </c>
      <c r="H406">
        <v>4757.5</v>
      </c>
      <c r="I406">
        <v>3996.3</v>
      </c>
      <c r="J406">
        <v>761.19999999999902</v>
      </c>
      <c r="K406" t="s">
        <v>45</v>
      </c>
    </row>
    <row r="407" spans="1:11" x14ac:dyDescent="0.2">
      <c r="A407" s="1">
        <v>45349</v>
      </c>
      <c r="B407" t="s">
        <v>26</v>
      </c>
      <c r="C407" t="s">
        <v>29</v>
      </c>
      <c r="D407" t="s">
        <v>12</v>
      </c>
      <c r="E407">
        <v>1397</v>
      </c>
      <c r="F407">
        <v>1.25</v>
      </c>
      <c r="G407">
        <v>1.05</v>
      </c>
      <c r="H407">
        <v>1746.25</v>
      </c>
      <c r="I407">
        <v>1466.85</v>
      </c>
      <c r="J407">
        <v>279.39999999999901</v>
      </c>
      <c r="K407" t="s">
        <v>36</v>
      </c>
    </row>
    <row r="408" spans="1:11" x14ac:dyDescent="0.2">
      <c r="A408" s="1">
        <v>45633</v>
      </c>
      <c r="B408" t="s">
        <v>10</v>
      </c>
      <c r="C408" t="s">
        <v>11</v>
      </c>
      <c r="D408" t="s">
        <v>12</v>
      </c>
      <c r="E408">
        <v>1585</v>
      </c>
      <c r="F408">
        <v>1.25</v>
      </c>
      <c r="G408">
        <v>1.05</v>
      </c>
      <c r="H408">
        <v>1981.25</v>
      </c>
      <c r="I408">
        <v>1664.25</v>
      </c>
      <c r="J408">
        <v>317</v>
      </c>
      <c r="K408" t="s">
        <v>46</v>
      </c>
    </row>
    <row r="409" spans="1:11" x14ac:dyDescent="0.2">
      <c r="A409" s="1">
        <v>45596</v>
      </c>
      <c r="B409" t="s">
        <v>24</v>
      </c>
      <c r="C409" t="s">
        <v>29</v>
      </c>
      <c r="D409" t="s">
        <v>12</v>
      </c>
      <c r="E409">
        <v>1779</v>
      </c>
      <c r="F409">
        <v>1.25</v>
      </c>
      <c r="G409">
        <v>1.05</v>
      </c>
      <c r="H409">
        <v>2223.75</v>
      </c>
      <c r="I409">
        <v>1867.95</v>
      </c>
      <c r="J409">
        <v>355.79999999999899</v>
      </c>
      <c r="K409" t="s">
        <v>44</v>
      </c>
    </row>
    <row r="410" spans="1:11" x14ac:dyDescent="0.2">
      <c r="A410" s="1">
        <v>45471</v>
      </c>
      <c r="B410" t="s">
        <v>19</v>
      </c>
      <c r="C410" t="s">
        <v>20</v>
      </c>
      <c r="D410" t="s">
        <v>18</v>
      </c>
      <c r="E410">
        <v>1170</v>
      </c>
      <c r="F410">
        <v>1.2</v>
      </c>
      <c r="G410">
        <v>1</v>
      </c>
      <c r="H410">
        <v>1404</v>
      </c>
      <c r="I410">
        <v>1170</v>
      </c>
      <c r="J410">
        <v>234</v>
      </c>
      <c r="K410" t="s">
        <v>40</v>
      </c>
    </row>
    <row r="411" spans="1:11" x14ac:dyDescent="0.2">
      <c r="A411" s="1">
        <v>45461</v>
      </c>
      <c r="B411" t="s">
        <v>28</v>
      </c>
      <c r="C411" t="s">
        <v>20</v>
      </c>
      <c r="D411" t="s">
        <v>12</v>
      </c>
      <c r="E411">
        <v>2005</v>
      </c>
      <c r="F411">
        <v>1.25</v>
      </c>
      <c r="G411">
        <v>1.05</v>
      </c>
      <c r="H411">
        <v>2506.25</v>
      </c>
      <c r="I411">
        <v>2105.25</v>
      </c>
      <c r="J411">
        <v>401</v>
      </c>
      <c r="K411" t="s">
        <v>40</v>
      </c>
    </row>
    <row r="412" spans="1:11" x14ac:dyDescent="0.2">
      <c r="A412" s="1">
        <v>45617</v>
      </c>
      <c r="B412" t="s">
        <v>28</v>
      </c>
      <c r="C412" t="s">
        <v>20</v>
      </c>
      <c r="D412" t="s">
        <v>12</v>
      </c>
      <c r="E412">
        <v>4075</v>
      </c>
      <c r="F412">
        <v>1.25</v>
      </c>
      <c r="G412">
        <v>1.05</v>
      </c>
      <c r="H412">
        <v>5093.75</v>
      </c>
      <c r="I412">
        <v>4278.75</v>
      </c>
      <c r="J412">
        <v>815</v>
      </c>
      <c r="K412" t="s">
        <v>45</v>
      </c>
    </row>
    <row r="413" spans="1:11" x14ac:dyDescent="0.2">
      <c r="A413" s="1">
        <v>45562</v>
      </c>
      <c r="B413" t="s">
        <v>30</v>
      </c>
      <c r="C413" t="s">
        <v>23</v>
      </c>
      <c r="D413" t="s">
        <v>14</v>
      </c>
      <c r="E413">
        <v>5314</v>
      </c>
      <c r="F413">
        <v>0.9</v>
      </c>
      <c r="G413">
        <v>0.7</v>
      </c>
      <c r="H413">
        <v>4782.6000000000004</v>
      </c>
      <c r="I413">
        <v>3719.7999999999902</v>
      </c>
      <c r="J413">
        <v>1062.8</v>
      </c>
      <c r="K413" t="s">
        <v>43</v>
      </c>
    </row>
    <row r="414" spans="1:11" x14ac:dyDescent="0.2">
      <c r="A414" s="1">
        <v>45345</v>
      </c>
      <c r="B414" t="s">
        <v>13</v>
      </c>
      <c r="C414" t="s">
        <v>20</v>
      </c>
      <c r="D414" t="s">
        <v>12</v>
      </c>
      <c r="E414">
        <v>5667</v>
      </c>
      <c r="F414">
        <v>1.25</v>
      </c>
      <c r="G414">
        <v>1.05</v>
      </c>
      <c r="H414">
        <v>7083.75</v>
      </c>
      <c r="I414">
        <v>5950.35</v>
      </c>
      <c r="J414">
        <v>1133.3999999999901</v>
      </c>
      <c r="K414" t="s">
        <v>36</v>
      </c>
    </row>
    <row r="415" spans="1:11" x14ac:dyDescent="0.2">
      <c r="A415" s="1">
        <v>45392</v>
      </c>
      <c r="B415" t="s">
        <v>27</v>
      </c>
      <c r="C415" t="s">
        <v>11</v>
      </c>
      <c r="D415" t="s">
        <v>14</v>
      </c>
      <c r="E415">
        <v>2455</v>
      </c>
      <c r="F415">
        <v>0.9</v>
      </c>
      <c r="G415">
        <v>0.7</v>
      </c>
      <c r="H415">
        <v>2209.5</v>
      </c>
      <c r="I415">
        <v>1718.5</v>
      </c>
      <c r="J415">
        <v>491</v>
      </c>
      <c r="K415" t="s">
        <v>38</v>
      </c>
    </row>
    <row r="416" spans="1:11" x14ac:dyDescent="0.2">
      <c r="A416" s="1">
        <v>45555</v>
      </c>
      <c r="B416" t="s">
        <v>27</v>
      </c>
      <c r="C416" t="s">
        <v>29</v>
      </c>
      <c r="D416" t="s">
        <v>12</v>
      </c>
      <c r="E416">
        <v>5755</v>
      </c>
      <c r="F416">
        <v>1.25</v>
      </c>
      <c r="G416">
        <v>1.05</v>
      </c>
      <c r="H416">
        <v>7193.75</v>
      </c>
      <c r="I416">
        <v>6042.75</v>
      </c>
      <c r="J416">
        <v>1151</v>
      </c>
      <c r="K416" t="s">
        <v>43</v>
      </c>
    </row>
    <row r="417" spans="1:11" x14ac:dyDescent="0.2">
      <c r="A417" s="1">
        <v>45344</v>
      </c>
      <c r="B417" t="s">
        <v>22</v>
      </c>
      <c r="C417" t="s">
        <v>17</v>
      </c>
      <c r="D417" t="s">
        <v>14</v>
      </c>
      <c r="E417">
        <v>749</v>
      </c>
      <c r="F417">
        <v>0.9</v>
      </c>
      <c r="G417">
        <v>0.7</v>
      </c>
      <c r="H417">
        <v>674.1</v>
      </c>
      <c r="I417">
        <v>524.29999999999995</v>
      </c>
      <c r="J417">
        <v>149.80000000000001</v>
      </c>
      <c r="K417" t="s">
        <v>36</v>
      </c>
    </row>
    <row r="418" spans="1:11" x14ac:dyDescent="0.2">
      <c r="A418" s="1">
        <v>45351</v>
      </c>
      <c r="B418" t="s">
        <v>32</v>
      </c>
      <c r="C418" t="s">
        <v>11</v>
      </c>
      <c r="D418" t="s">
        <v>18</v>
      </c>
      <c r="E418">
        <v>2392</v>
      </c>
      <c r="F418">
        <v>1.2</v>
      </c>
      <c r="G418">
        <v>1</v>
      </c>
      <c r="H418">
        <v>2870.4</v>
      </c>
      <c r="I418">
        <v>2392</v>
      </c>
      <c r="J418">
        <v>478.4</v>
      </c>
      <c r="K418" t="s">
        <v>36</v>
      </c>
    </row>
    <row r="419" spans="1:11" x14ac:dyDescent="0.2">
      <c r="A419" s="1">
        <v>45399</v>
      </c>
      <c r="B419" t="s">
        <v>31</v>
      </c>
      <c r="C419" t="s">
        <v>11</v>
      </c>
      <c r="D419" t="s">
        <v>18</v>
      </c>
      <c r="E419">
        <v>3939</v>
      </c>
      <c r="F419">
        <v>1.2</v>
      </c>
      <c r="G419">
        <v>1</v>
      </c>
      <c r="H419">
        <v>4726.8</v>
      </c>
      <c r="I419">
        <v>3939</v>
      </c>
      <c r="J419">
        <v>787.8</v>
      </c>
      <c r="K419" t="s">
        <v>38</v>
      </c>
    </row>
    <row r="420" spans="1:11" x14ac:dyDescent="0.2">
      <c r="A420" s="1">
        <v>45296</v>
      </c>
      <c r="B420" t="s">
        <v>24</v>
      </c>
      <c r="C420" t="s">
        <v>20</v>
      </c>
      <c r="D420" t="s">
        <v>14</v>
      </c>
      <c r="E420">
        <v>2353</v>
      </c>
      <c r="F420">
        <v>0.9</v>
      </c>
      <c r="G420">
        <v>0.7</v>
      </c>
      <c r="H420">
        <v>2117.6999999999998</v>
      </c>
      <c r="I420">
        <v>1647.1</v>
      </c>
      <c r="J420">
        <v>470.6</v>
      </c>
      <c r="K420" t="s">
        <v>35</v>
      </c>
    </row>
    <row r="421" spans="1:11" x14ac:dyDescent="0.2">
      <c r="A421" s="1">
        <v>45394</v>
      </c>
      <c r="B421" t="s">
        <v>27</v>
      </c>
      <c r="C421" t="s">
        <v>23</v>
      </c>
      <c r="D421" t="s">
        <v>12</v>
      </c>
      <c r="E421">
        <v>3354</v>
      </c>
      <c r="F421">
        <v>1.25</v>
      </c>
      <c r="G421">
        <v>1.05</v>
      </c>
      <c r="H421">
        <v>4192.5</v>
      </c>
      <c r="I421">
        <v>3521.7</v>
      </c>
      <c r="J421">
        <v>670.79999999999905</v>
      </c>
      <c r="K421" t="s">
        <v>38</v>
      </c>
    </row>
    <row r="422" spans="1:11" x14ac:dyDescent="0.2">
      <c r="A422" s="1">
        <v>45487</v>
      </c>
      <c r="B422" t="s">
        <v>30</v>
      </c>
      <c r="C422" t="s">
        <v>29</v>
      </c>
      <c r="D422" t="s">
        <v>14</v>
      </c>
      <c r="E422">
        <v>2003</v>
      </c>
      <c r="F422">
        <v>0.9</v>
      </c>
      <c r="G422">
        <v>0.7</v>
      </c>
      <c r="H422">
        <v>1802.7</v>
      </c>
      <c r="I422">
        <v>1402.1</v>
      </c>
      <c r="J422">
        <v>400.6</v>
      </c>
      <c r="K422" t="s">
        <v>41</v>
      </c>
    </row>
    <row r="423" spans="1:11" x14ac:dyDescent="0.2">
      <c r="A423" s="1">
        <v>45553</v>
      </c>
      <c r="B423" t="s">
        <v>19</v>
      </c>
      <c r="C423" t="s">
        <v>23</v>
      </c>
      <c r="D423" t="s">
        <v>12</v>
      </c>
      <c r="E423">
        <v>3885</v>
      </c>
      <c r="F423">
        <v>1.25</v>
      </c>
      <c r="G423">
        <v>1.05</v>
      </c>
      <c r="H423">
        <v>4856.25</v>
      </c>
      <c r="I423">
        <v>4079.25</v>
      </c>
      <c r="J423">
        <v>777</v>
      </c>
      <c r="K423" t="s">
        <v>43</v>
      </c>
    </row>
    <row r="424" spans="1:11" x14ac:dyDescent="0.2">
      <c r="A424" s="1">
        <v>45656</v>
      </c>
      <c r="B424" t="s">
        <v>13</v>
      </c>
      <c r="C424" t="s">
        <v>29</v>
      </c>
      <c r="D424" t="s">
        <v>12</v>
      </c>
      <c r="E424">
        <v>4071</v>
      </c>
      <c r="F424">
        <v>1.25</v>
      </c>
      <c r="G424">
        <v>1.05</v>
      </c>
      <c r="H424">
        <v>5088.75</v>
      </c>
      <c r="I424">
        <v>4274.55</v>
      </c>
      <c r="J424">
        <v>814.19999999999902</v>
      </c>
      <c r="K424" t="s">
        <v>46</v>
      </c>
    </row>
    <row r="425" spans="1:11" x14ac:dyDescent="0.2">
      <c r="A425" s="1">
        <v>45641</v>
      </c>
      <c r="B425" t="s">
        <v>26</v>
      </c>
      <c r="C425" t="s">
        <v>29</v>
      </c>
      <c r="D425" t="s">
        <v>12</v>
      </c>
      <c r="E425">
        <v>4292</v>
      </c>
      <c r="F425">
        <v>1.25</v>
      </c>
      <c r="G425">
        <v>1.05</v>
      </c>
      <c r="H425">
        <v>5365</v>
      </c>
      <c r="I425">
        <v>4506.6000000000004</v>
      </c>
      <c r="J425">
        <v>858.39999999999895</v>
      </c>
      <c r="K425" t="s">
        <v>46</v>
      </c>
    </row>
    <row r="426" spans="1:11" x14ac:dyDescent="0.2">
      <c r="A426" s="1">
        <v>45338</v>
      </c>
      <c r="B426" t="s">
        <v>22</v>
      </c>
      <c r="C426" t="s">
        <v>23</v>
      </c>
      <c r="D426" t="s">
        <v>18</v>
      </c>
      <c r="E426">
        <v>3926</v>
      </c>
      <c r="F426">
        <v>1.2</v>
      </c>
      <c r="G426">
        <v>1</v>
      </c>
      <c r="H426">
        <v>4711.2</v>
      </c>
      <c r="I426">
        <v>3926</v>
      </c>
      <c r="J426">
        <v>785.19999999999902</v>
      </c>
      <c r="K426" t="s">
        <v>36</v>
      </c>
    </row>
    <row r="427" spans="1:11" x14ac:dyDescent="0.2">
      <c r="A427" s="1">
        <v>45646</v>
      </c>
      <c r="B427" t="s">
        <v>30</v>
      </c>
      <c r="C427" t="s">
        <v>11</v>
      </c>
      <c r="D427" t="s">
        <v>12</v>
      </c>
      <c r="E427">
        <v>5830</v>
      </c>
      <c r="F427">
        <v>1.25</v>
      </c>
      <c r="G427">
        <v>1.05</v>
      </c>
      <c r="H427">
        <v>7287.5</v>
      </c>
      <c r="I427">
        <v>6121.5</v>
      </c>
      <c r="J427">
        <v>1166</v>
      </c>
      <c r="K427" t="s">
        <v>46</v>
      </c>
    </row>
    <row r="428" spans="1:11" x14ac:dyDescent="0.2">
      <c r="A428" s="1">
        <v>45602</v>
      </c>
      <c r="B428" t="s">
        <v>25</v>
      </c>
      <c r="C428" t="s">
        <v>29</v>
      </c>
      <c r="D428" t="s">
        <v>18</v>
      </c>
      <c r="E428">
        <v>543</v>
      </c>
      <c r="F428">
        <v>1.2</v>
      </c>
      <c r="G428">
        <v>1</v>
      </c>
      <c r="H428">
        <v>651.6</v>
      </c>
      <c r="I428">
        <v>543</v>
      </c>
      <c r="J428">
        <v>108.6</v>
      </c>
      <c r="K428" t="s">
        <v>45</v>
      </c>
    </row>
    <row r="429" spans="1:11" x14ac:dyDescent="0.2">
      <c r="A429" s="1">
        <v>45599</v>
      </c>
      <c r="B429" t="s">
        <v>21</v>
      </c>
      <c r="C429" t="s">
        <v>23</v>
      </c>
      <c r="D429" t="s">
        <v>18</v>
      </c>
      <c r="E429">
        <v>4112</v>
      </c>
      <c r="F429">
        <v>1.2</v>
      </c>
      <c r="G429">
        <v>1</v>
      </c>
      <c r="H429">
        <v>4934.3999999999996</v>
      </c>
      <c r="I429">
        <v>4112</v>
      </c>
      <c r="J429">
        <v>822.39999999999895</v>
      </c>
      <c r="K429" t="s">
        <v>45</v>
      </c>
    </row>
    <row r="430" spans="1:11" x14ac:dyDescent="0.2">
      <c r="A430" s="1">
        <v>45435</v>
      </c>
      <c r="B430" t="s">
        <v>26</v>
      </c>
      <c r="C430" t="s">
        <v>29</v>
      </c>
      <c r="D430" t="s">
        <v>18</v>
      </c>
      <c r="E430">
        <v>3118</v>
      </c>
      <c r="F430">
        <v>1.2</v>
      </c>
      <c r="G430">
        <v>1</v>
      </c>
      <c r="H430">
        <v>3741.6</v>
      </c>
      <c r="I430">
        <v>3118</v>
      </c>
      <c r="J430">
        <v>623.599999999999</v>
      </c>
      <c r="K430" t="s">
        <v>39</v>
      </c>
    </row>
    <row r="431" spans="1:11" x14ac:dyDescent="0.2">
      <c r="A431" s="1">
        <v>45560</v>
      </c>
      <c r="B431" t="s">
        <v>32</v>
      </c>
      <c r="C431" t="s">
        <v>17</v>
      </c>
      <c r="D431" t="s">
        <v>18</v>
      </c>
      <c r="E431">
        <v>5178</v>
      </c>
      <c r="F431">
        <v>1.2</v>
      </c>
      <c r="G431">
        <v>1</v>
      </c>
      <c r="H431">
        <v>6213.5999999999904</v>
      </c>
      <c r="I431">
        <v>5178</v>
      </c>
      <c r="J431">
        <v>1035.5999999999899</v>
      </c>
      <c r="K431" t="s">
        <v>43</v>
      </c>
    </row>
    <row r="432" spans="1:11" x14ac:dyDescent="0.2">
      <c r="A432" s="1">
        <v>45415</v>
      </c>
      <c r="B432" t="s">
        <v>25</v>
      </c>
      <c r="C432" t="s">
        <v>11</v>
      </c>
      <c r="D432" t="s">
        <v>12</v>
      </c>
      <c r="E432">
        <v>3663</v>
      </c>
      <c r="F432">
        <v>1.25</v>
      </c>
      <c r="G432">
        <v>1.05</v>
      </c>
      <c r="H432">
        <v>4578.75</v>
      </c>
      <c r="I432">
        <v>3846.15</v>
      </c>
      <c r="J432">
        <v>732.599999999999</v>
      </c>
      <c r="K432" t="s">
        <v>39</v>
      </c>
    </row>
    <row r="433" spans="1:11" x14ac:dyDescent="0.2">
      <c r="A433" s="1">
        <v>45397</v>
      </c>
      <c r="B433" t="s">
        <v>16</v>
      </c>
      <c r="C433" t="s">
        <v>20</v>
      </c>
      <c r="D433" t="s">
        <v>12</v>
      </c>
      <c r="E433">
        <v>1788</v>
      </c>
      <c r="F433">
        <v>1.25</v>
      </c>
      <c r="G433">
        <v>1.05</v>
      </c>
      <c r="H433">
        <v>2235</v>
      </c>
      <c r="I433">
        <v>1877.4</v>
      </c>
      <c r="J433">
        <v>357.599999999999</v>
      </c>
      <c r="K433" t="s">
        <v>38</v>
      </c>
    </row>
    <row r="434" spans="1:11" x14ac:dyDescent="0.2">
      <c r="A434" s="1">
        <v>45449</v>
      </c>
      <c r="B434" t="s">
        <v>32</v>
      </c>
      <c r="C434" t="s">
        <v>29</v>
      </c>
      <c r="D434" t="s">
        <v>12</v>
      </c>
      <c r="E434">
        <v>3442</v>
      </c>
      <c r="F434">
        <v>1.25</v>
      </c>
      <c r="G434">
        <v>1.05</v>
      </c>
      <c r="H434">
        <v>4302.5</v>
      </c>
      <c r="I434">
        <v>3614.1</v>
      </c>
      <c r="J434">
        <v>688.39999999999895</v>
      </c>
      <c r="K434" t="s">
        <v>40</v>
      </c>
    </row>
    <row r="435" spans="1:11" x14ac:dyDescent="0.2">
      <c r="A435" s="1">
        <v>45438</v>
      </c>
      <c r="B435" t="s">
        <v>28</v>
      </c>
      <c r="C435" t="s">
        <v>17</v>
      </c>
      <c r="D435" t="s">
        <v>12</v>
      </c>
      <c r="E435">
        <v>719</v>
      </c>
      <c r="F435">
        <v>1.25</v>
      </c>
      <c r="G435">
        <v>1.05</v>
      </c>
      <c r="H435">
        <v>898.75</v>
      </c>
      <c r="I435">
        <v>754.95</v>
      </c>
      <c r="J435">
        <v>143.79999999999899</v>
      </c>
      <c r="K435" t="s">
        <v>39</v>
      </c>
    </row>
    <row r="436" spans="1:11" x14ac:dyDescent="0.2">
      <c r="A436" s="1">
        <v>45436</v>
      </c>
      <c r="B436" t="s">
        <v>21</v>
      </c>
      <c r="C436" t="s">
        <v>20</v>
      </c>
      <c r="D436" t="s">
        <v>12</v>
      </c>
      <c r="E436">
        <v>2425</v>
      </c>
      <c r="F436">
        <v>1.25</v>
      </c>
      <c r="G436">
        <v>1.05</v>
      </c>
      <c r="H436">
        <v>3031.25</v>
      </c>
      <c r="I436">
        <v>2546.25</v>
      </c>
      <c r="J436">
        <v>485</v>
      </c>
      <c r="K436" t="s">
        <v>39</v>
      </c>
    </row>
    <row r="437" spans="1:11" x14ac:dyDescent="0.2">
      <c r="A437" s="1">
        <v>45411</v>
      </c>
      <c r="B437" t="s">
        <v>24</v>
      </c>
      <c r="C437" t="s">
        <v>20</v>
      </c>
      <c r="D437" t="s">
        <v>12</v>
      </c>
      <c r="E437">
        <v>3472</v>
      </c>
      <c r="F437">
        <v>1.25</v>
      </c>
      <c r="G437">
        <v>1.05</v>
      </c>
      <c r="H437">
        <v>4340</v>
      </c>
      <c r="I437">
        <v>3645.6</v>
      </c>
      <c r="J437">
        <v>694.39999999999895</v>
      </c>
      <c r="K437" t="s">
        <v>38</v>
      </c>
    </row>
    <row r="438" spans="1:11" x14ac:dyDescent="0.2">
      <c r="A438" s="1">
        <v>45610</v>
      </c>
      <c r="B438" t="s">
        <v>19</v>
      </c>
      <c r="C438" t="s">
        <v>29</v>
      </c>
      <c r="D438" t="s">
        <v>12</v>
      </c>
      <c r="E438">
        <v>4013</v>
      </c>
      <c r="F438">
        <v>1.25</v>
      </c>
      <c r="G438">
        <v>1.05</v>
      </c>
      <c r="H438">
        <v>5016.25</v>
      </c>
      <c r="I438">
        <v>4213.6499999999996</v>
      </c>
      <c r="J438">
        <v>802.599999999999</v>
      </c>
      <c r="K438" t="s">
        <v>45</v>
      </c>
    </row>
    <row r="439" spans="1:11" x14ac:dyDescent="0.2">
      <c r="A439" s="1">
        <v>45566</v>
      </c>
      <c r="B439" t="s">
        <v>21</v>
      </c>
      <c r="C439" t="s">
        <v>23</v>
      </c>
      <c r="D439" t="s">
        <v>14</v>
      </c>
      <c r="E439">
        <v>2948</v>
      </c>
      <c r="F439">
        <v>0.9</v>
      </c>
      <c r="G439">
        <v>0.7</v>
      </c>
      <c r="H439">
        <v>2653.2</v>
      </c>
      <c r="I439">
        <v>2063.6</v>
      </c>
      <c r="J439">
        <v>589.6</v>
      </c>
      <c r="K439" t="s">
        <v>44</v>
      </c>
    </row>
    <row r="440" spans="1:11" x14ac:dyDescent="0.2">
      <c r="A440" s="1">
        <v>45383</v>
      </c>
      <c r="B440" t="s">
        <v>32</v>
      </c>
      <c r="C440" t="s">
        <v>29</v>
      </c>
      <c r="D440" t="s">
        <v>18</v>
      </c>
      <c r="E440">
        <v>3971</v>
      </c>
      <c r="F440">
        <v>1.2</v>
      </c>
      <c r="G440">
        <v>1</v>
      </c>
      <c r="H440">
        <v>4765.2</v>
      </c>
      <c r="I440">
        <v>3971</v>
      </c>
      <c r="J440">
        <v>794.19999999999902</v>
      </c>
      <c r="K440" t="s">
        <v>38</v>
      </c>
    </row>
    <row r="441" spans="1:11" x14ac:dyDescent="0.2">
      <c r="A441" s="1">
        <v>45349</v>
      </c>
      <c r="B441" t="s">
        <v>31</v>
      </c>
      <c r="C441" t="s">
        <v>17</v>
      </c>
      <c r="D441" t="s">
        <v>12</v>
      </c>
      <c r="E441">
        <v>3274</v>
      </c>
      <c r="F441">
        <v>1.25</v>
      </c>
      <c r="G441">
        <v>1.05</v>
      </c>
      <c r="H441">
        <v>4092.5</v>
      </c>
      <c r="I441">
        <v>3437.7</v>
      </c>
      <c r="J441">
        <v>654.79999999999905</v>
      </c>
      <c r="K441" t="s">
        <v>36</v>
      </c>
    </row>
    <row r="442" spans="1:11" x14ac:dyDescent="0.2">
      <c r="A442" s="1">
        <v>45637</v>
      </c>
      <c r="B442" t="s">
        <v>25</v>
      </c>
      <c r="C442" t="s">
        <v>20</v>
      </c>
      <c r="D442" t="s">
        <v>18</v>
      </c>
      <c r="E442">
        <v>1490</v>
      </c>
      <c r="F442">
        <v>1.2</v>
      </c>
      <c r="G442">
        <v>1</v>
      </c>
      <c r="H442">
        <v>1788</v>
      </c>
      <c r="I442">
        <v>1490</v>
      </c>
      <c r="J442">
        <v>298</v>
      </c>
      <c r="K442" t="s">
        <v>46</v>
      </c>
    </row>
    <row r="443" spans="1:11" x14ac:dyDescent="0.2">
      <c r="A443" s="1">
        <v>45520</v>
      </c>
      <c r="B443" t="s">
        <v>24</v>
      </c>
      <c r="C443" t="s">
        <v>29</v>
      </c>
      <c r="D443" t="s">
        <v>12</v>
      </c>
      <c r="E443">
        <v>3446</v>
      </c>
      <c r="F443">
        <v>1.25</v>
      </c>
      <c r="G443">
        <v>1.05</v>
      </c>
      <c r="H443">
        <v>4307.5</v>
      </c>
      <c r="I443">
        <v>3618.3</v>
      </c>
      <c r="J443">
        <v>689.19999999999902</v>
      </c>
      <c r="K443" t="s">
        <v>42</v>
      </c>
    </row>
    <row r="444" spans="1:11" x14ac:dyDescent="0.2">
      <c r="A444" s="1">
        <v>45408</v>
      </c>
      <c r="B444" t="s">
        <v>15</v>
      </c>
      <c r="C444" t="s">
        <v>23</v>
      </c>
      <c r="D444" t="s">
        <v>12</v>
      </c>
      <c r="E444">
        <v>2312</v>
      </c>
      <c r="F444">
        <v>1.25</v>
      </c>
      <c r="G444">
        <v>1.05</v>
      </c>
      <c r="H444">
        <v>2890</v>
      </c>
      <c r="I444">
        <v>2427.6</v>
      </c>
      <c r="J444">
        <v>462.4</v>
      </c>
      <c r="K444" t="s">
        <v>38</v>
      </c>
    </row>
    <row r="445" spans="1:11" x14ac:dyDescent="0.2">
      <c r="A445" s="1">
        <v>45609</v>
      </c>
      <c r="B445" t="s">
        <v>31</v>
      </c>
      <c r="C445" t="s">
        <v>29</v>
      </c>
      <c r="D445" t="s">
        <v>18</v>
      </c>
      <c r="E445">
        <v>5453</v>
      </c>
      <c r="F445">
        <v>1.2</v>
      </c>
      <c r="G445">
        <v>1</v>
      </c>
      <c r="H445">
        <v>6543.5999999999904</v>
      </c>
      <c r="I445">
        <v>5453</v>
      </c>
      <c r="J445">
        <v>1090.5999999999899</v>
      </c>
      <c r="K445" t="s">
        <v>45</v>
      </c>
    </row>
    <row r="446" spans="1:11" x14ac:dyDescent="0.2">
      <c r="A446" s="1">
        <v>45570</v>
      </c>
      <c r="B446" t="s">
        <v>28</v>
      </c>
      <c r="C446" t="s">
        <v>11</v>
      </c>
      <c r="D446" t="s">
        <v>12</v>
      </c>
      <c r="E446">
        <v>1303</v>
      </c>
      <c r="F446">
        <v>1.25</v>
      </c>
      <c r="G446">
        <v>1.05</v>
      </c>
      <c r="H446">
        <v>1628.75</v>
      </c>
      <c r="I446">
        <v>1368.15</v>
      </c>
      <c r="J446">
        <v>260.599999999999</v>
      </c>
      <c r="K446" t="s">
        <v>44</v>
      </c>
    </row>
    <row r="447" spans="1:11" x14ac:dyDescent="0.2">
      <c r="A447" s="1">
        <v>45418</v>
      </c>
      <c r="B447" t="s">
        <v>31</v>
      </c>
      <c r="C447" t="s">
        <v>23</v>
      </c>
      <c r="D447" t="s">
        <v>12</v>
      </c>
      <c r="E447">
        <v>989</v>
      </c>
      <c r="F447">
        <v>1.25</v>
      </c>
      <c r="G447">
        <v>1.05</v>
      </c>
      <c r="H447">
        <v>1236.25</v>
      </c>
      <c r="I447">
        <v>1038.45</v>
      </c>
      <c r="J447">
        <v>197.79999999999899</v>
      </c>
      <c r="K447" t="s">
        <v>39</v>
      </c>
    </row>
    <row r="448" spans="1:11" x14ac:dyDescent="0.2">
      <c r="A448" s="1">
        <v>45420</v>
      </c>
      <c r="B448" t="s">
        <v>22</v>
      </c>
      <c r="C448" t="s">
        <v>17</v>
      </c>
      <c r="D448" t="s">
        <v>14</v>
      </c>
      <c r="E448">
        <v>4056</v>
      </c>
      <c r="F448">
        <v>0.9</v>
      </c>
      <c r="G448">
        <v>0.7</v>
      </c>
      <c r="H448">
        <v>3650.4</v>
      </c>
      <c r="I448">
        <v>2839.2</v>
      </c>
      <c r="J448">
        <v>811.2</v>
      </c>
      <c r="K448" t="s">
        <v>39</v>
      </c>
    </row>
    <row r="449" spans="1:11" x14ac:dyDescent="0.2">
      <c r="A449" s="1">
        <v>45349</v>
      </c>
      <c r="B449" t="s">
        <v>22</v>
      </c>
      <c r="C449" t="s">
        <v>20</v>
      </c>
      <c r="D449" t="s">
        <v>14</v>
      </c>
      <c r="E449">
        <v>1993</v>
      </c>
      <c r="F449">
        <v>0.9</v>
      </c>
      <c r="G449">
        <v>0.7</v>
      </c>
      <c r="H449">
        <v>1793.7</v>
      </c>
      <c r="I449">
        <v>1395.1</v>
      </c>
      <c r="J449">
        <v>398.6</v>
      </c>
      <c r="K449" t="s">
        <v>36</v>
      </c>
    </row>
    <row r="450" spans="1:11" x14ac:dyDescent="0.2">
      <c r="A450" s="1">
        <v>45413</v>
      </c>
      <c r="B450" t="s">
        <v>16</v>
      </c>
      <c r="C450" t="s">
        <v>29</v>
      </c>
      <c r="D450" t="s">
        <v>18</v>
      </c>
      <c r="E450">
        <v>4145</v>
      </c>
      <c r="F450">
        <v>1.2</v>
      </c>
      <c r="G450">
        <v>1</v>
      </c>
      <c r="H450">
        <v>4974</v>
      </c>
      <c r="I450">
        <v>4145</v>
      </c>
      <c r="J450">
        <v>829</v>
      </c>
      <c r="K450" t="s">
        <v>39</v>
      </c>
    </row>
    <row r="451" spans="1:11" x14ac:dyDescent="0.2">
      <c r="A451" s="1">
        <v>45292</v>
      </c>
      <c r="B451" t="s">
        <v>32</v>
      </c>
      <c r="C451" t="s">
        <v>23</v>
      </c>
      <c r="D451" t="s">
        <v>18</v>
      </c>
      <c r="E451">
        <v>3391</v>
      </c>
      <c r="F451">
        <v>1.2</v>
      </c>
      <c r="G451">
        <v>1</v>
      </c>
      <c r="H451">
        <v>4069.2</v>
      </c>
      <c r="I451">
        <v>3391</v>
      </c>
      <c r="J451">
        <v>678.19999999999902</v>
      </c>
      <c r="K451" t="s">
        <v>35</v>
      </c>
    </row>
    <row r="452" spans="1:11" x14ac:dyDescent="0.2">
      <c r="A452" s="1">
        <v>45530</v>
      </c>
      <c r="B452" t="s">
        <v>13</v>
      </c>
      <c r="C452" t="s">
        <v>11</v>
      </c>
      <c r="D452" t="s">
        <v>18</v>
      </c>
      <c r="E452">
        <v>2205</v>
      </c>
      <c r="F452">
        <v>1.2</v>
      </c>
      <c r="G452">
        <v>1</v>
      </c>
      <c r="H452">
        <v>2646</v>
      </c>
      <c r="I452">
        <v>2205</v>
      </c>
      <c r="J452">
        <v>441</v>
      </c>
      <c r="K452" t="s">
        <v>42</v>
      </c>
    </row>
    <row r="453" spans="1:11" x14ac:dyDescent="0.2">
      <c r="A453" s="1">
        <v>45581</v>
      </c>
      <c r="B453" t="s">
        <v>26</v>
      </c>
      <c r="C453" t="s">
        <v>23</v>
      </c>
      <c r="D453" t="s">
        <v>12</v>
      </c>
      <c r="E453">
        <v>4016</v>
      </c>
      <c r="F453">
        <v>1.25</v>
      </c>
      <c r="G453">
        <v>1.05</v>
      </c>
      <c r="H453">
        <v>5020</v>
      </c>
      <c r="I453">
        <v>4216.8</v>
      </c>
      <c r="J453">
        <v>803.19999999999902</v>
      </c>
      <c r="K453" t="s">
        <v>44</v>
      </c>
    </row>
    <row r="454" spans="1:11" x14ac:dyDescent="0.2">
      <c r="A454" s="1">
        <v>45387</v>
      </c>
      <c r="B454" t="s">
        <v>26</v>
      </c>
      <c r="C454" t="s">
        <v>11</v>
      </c>
      <c r="D454" t="s">
        <v>12</v>
      </c>
      <c r="E454">
        <v>3840</v>
      </c>
      <c r="F454">
        <v>1.25</v>
      </c>
      <c r="G454">
        <v>1.05</v>
      </c>
      <c r="H454">
        <v>4800</v>
      </c>
      <c r="I454">
        <v>4032</v>
      </c>
      <c r="J454">
        <v>768</v>
      </c>
      <c r="K454" t="s">
        <v>38</v>
      </c>
    </row>
    <row r="455" spans="1:11" x14ac:dyDescent="0.2">
      <c r="A455" s="1">
        <v>45417</v>
      </c>
      <c r="B455" t="s">
        <v>15</v>
      </c>
      <c r="C455" t="s">
        <v>17</v>
      </c>
      <c r="D455" t="s">
        <v>12</v>
      </c>
      <c r="E455">
        <v>553</v>
      </c>
      <c r="F455">
        <v>1.25</v>
      </c>
      <c r="G455">
        <v>1.05</v>
      </c>
      <c r="H455">
        <v>691.25</v>
      </c>
      <c r="I455">
        <v>580.65</v>
      </c>
      <c r="J455">
        <v>110.6</v>
      </c>
      <c r="K455" t="s">
        <v>39</v>
      </c>
    </row>
    <row r="456" spans="1:11" x14ac:dyDescent="0.2">
      <c r="A456" s="1">
        <v>45409</v>
      </c>
      <c r="B456" t="s">
        <v>15</v>
      </c>
      <c r="C456" t="s">
        <v>20</v>
      </c>
      <c r="D456" t="s">
        <v>12</v>
      </c>
      <c r="E456">
        <v>3075</v>
      </c>
      <c r="F456">
        <v>1.25</v>
      </c>
      <c r="G456">
        <v>1.05</v>
      </c>
      <c r="H456">
        <v>3843.75</v>
      </c>
      <c r="I456">
        <v>3228.75</v>
      </c>
      <c r="J456">
        <v>615</v>
      </c>
      <c r="K456" t="s">
        <v>38</v>
      </c>
    </row>
    <row r="457" spans="1:11" x14ac:dyDescent="0.2">
      <c r="A457" s="1">
        <v>45339</v>
      </c>
      <c r="B457" t="s">
        <v>24</v>
      </c>
      <c r="C457" t="s">
        <v>17</v>
      </c>
      <c r="D457" t="s">
        <v>18</v>
      </c>
      <c r="E457">
        <v>4091</v>
      </c>
      <c r="F457">
        <v>1.2</v>
      </c>
      <c r="G457">
        <v>1</v>
      </c>
      <c r="H457">
        <v>4909.2</v>
      </c>
      <c r="I457">
        <v>4091</v>
      </c>
      <c r="J457">
        <v>818.19999999999902</v>
      </c>
      <c r="K457" t="s">
        <v>36</v>
      </c>
    </row>
    <row r="458" spans="1:11" x14ac:dyDescent="0.2">
      <c r="A458" s="1">
        <v>45380</v>
      </c>
      <c r="B458" t="s">
        <v>28</v>
      </c>
      <c r="C458" t="s">
        <v>29</v>
      </c>
      <c r="D458" t="s">
        <v>12</v>
      </c>
      <c r="E458">
        <v>1115</v>
      </c>
      <c r="F458">
        <v>1.25</v>
      </c>
      <c r="G458">
        <v>1.05</v>
      </c>
      <c r="H458">
        <v>1393.75</v>
      </c>
      <c r="I458">
        <v>1170.75</v>
      </c>
      <c r="J458">
        <v>223</v>
      </c>
      <c r="K458" t="s">
        <v>37</v>
      </c>
    </row>
    <row r="459" spans="1:11" x14ac:dyDescent="0.2">
      <c r="A459" s="1">
        <v>45528</v>
      </c>
      <c r="B459" t="s">
        <v>27</v>
      </c>
      <c r="C459" t="s">
        <v>23</v>
      </c>
      <c r="D459" t="s">
        <v>14</v>
      </c>
      <c r="E459">
        <v>5678</v>
      </c>
      <c r="F459">
        <v>0.9</v>
      </c>
      <c r="G459">
        <v>0.7</v>
      </c>
      <c r="H459">
        <v>5110.2</v>
      </c>
      <c r="I459">
        <v>3974.6</v>
      </c>
      <c r="J459">
        <v>1135.5999999999999</v>
      </c>
      <c r="K459" t="s">
        <v>42</v>
      </c>
    </row>
    <row r="460" spans="1:11" x14ac:dyDescent="0.2">
      <c r="A460" s="1">
        <v>45563</v>
      </c>
      <c r="B460" t="s">
        <v>16</v>
      </c>
      <c r="C460" t="s">
        <v>11</v>
      </c>
      <c r="D460" t="s">
        <v>14</v>
      </c>
      <c r="E460">
        <v>1454</v>
      </c>
      <c r="F460">
        <v>0.9</v>
      </c>
      <c r="G460">
        <v>0.7</v>
      </c>
      <c r="H460">
        <v>1308.5999999999999</v>
      </c>
      <c r="I460">
        <v>1017.8</v>
      </c>
      <c r="J460">
        <v>290.8</v>
      </c>
      <c r="K460" t="s">
        <v>43</v>
      </c>
    </row>
    <row r="461" spans="1:11" x14ac:dyDescent="0.2">
      <c r="A461" s="1">
        <v>45480</v>
      </c>
      <c r="B461" t="s">
        <v>22</v>
      </c>
      <c r="C461" t="s">
        <v>11</v>
      </c>
      <c r="D461" t="s">
        <v>18</v>
      </c>
      <c r="E461">
        <v>2933</v>
      </c>
      <c r="F461">
        <v>1.2</v>
      </c>
      <c r="G461">
        <v>1</v>
      </c>
      <c r="H461">
        <v>3519.6</v>
      </c>
      <c r="I461">
        <v>2933</v>
      </c>
      <c r="J461">
        <v>586.599999999999</v>
      </c>
      <c r="K461" t="s">
        <v>41</v>
      </c>
    </row>
    <row r="462" spans="1:11" x14ac:dyDescent="0.2">
      <c r="A462" s="1">
        <v>45483</v>
      </c>
      <c r="B462" t="s">
        <v>24</v>
      </c>
      <c r="C462" t="s">
        <v>23</v>
      </c>
      <c r="D462" t="s">
        <v>18</v>
      </c>
      <c r="E462">
        <v>2129</v>
      </c>
      <c r="F462">
        <v>1.2</v>
      </c>
      <c r="G462">
        <v>1</v>
      </c>
      <c r="H462">
        <v>2554.7999999999902</v>
      </c>
      <c r="I462">
        <v>2129</v>
      </c>
      <c r="J462">
        <v>425.79999999999899</v>
      </c>
      <c r="K462" t="s">
        <v>41</v>
      </c>
    </row>
    <row r="463" spans="1:11" x14ac:dyDescent="0.2">
      <c r="A463" s="1">
        <v>45360</v>
      </c>
      <c r="B463" t="s">
        <v>27</v>
      </c>
      <c r="C463" t="s">
        <v>23</v>
      </c>
      <c r="D463" t="s">
        <v>14</v>
      </c>
      <c r="E463">
        <v>3281</v>
      </c>
      <c r="F463">
        <v>0.9</v>
      </c>
      <c r="G463">
        <v>0.7</v>
      </c>
      <c r="H463">
        <v>2952.9</v>
      </c>
      <c r="I463">
        <v>2296.6999999999998</v>
      </c>
      <c r="J463">
        <v>656.2</v>
      </c>
      <c r="K463" t="s">
        <v>37</v>
      </c>
    </row>
    <row r="464" spans="1:11" x14ac:dyDescent="0.2">
      <c r="A464" s="1">
        <v>45569</v>
      </c>
      <c r="B464" t="s">
        <v>26</v>
      </c>
      <c r="C464" t="s">
        <v>29</v>
      </c>
      <c r="D464" t="s">
        <v>12</v>
      </c>
      <c r="E464">
        <v>1149</v>
      </c>
      <c r="F464">
        <v>1.25</v>
      </c>
      <c r="G464">
        <v>1.05</v>
      </c>
      <c r="H464">
        <v>1436.25</v>
      </c>
      <c r="I464">
        <v>1206.45</v>
      </c>
      <c r="J464">
        <v>229.79999999999899</v>
      </c>
      <c r="K464" t="s">
        <v>44</v>
      </c>
    </row>
    <row r="465" spans="1:11" x14ac:dyDescent="0.2">
      <c r="A465" s="1">
        <v>45640</v>
      </c>
      <c r="B465" t="s">
        <v>13</v>
      </c>
      <c r="C465" t="s">
        <v>17</v>
      </c>
      <c r="D465" t="s">
        <v>18</v>
      </c>
      <c r="E465">
        <v>2847</v>
      </c>
      <c r="F465">
        <v>1.2</v>
      </c>
      <c r="G465">
        <v>1</v>
      </c>
      <c r="H465">
        <v>3416.4</v>
      </c>
      <c r="I465">
        <v>2847</v>
      </c>
      <c r="J465">
        <v>569.4</v>
      </c>
      <c r="K465" t="s">
        <v>46</v>
      </c>
    </row>
    <row r="466" spans="1:11" x14ac:dyDescent="0.2">
      <c r="A466" s="1">
        <v>45538</v>
      </c>
      <c r="B466" t="s">
        <v>31</v>
      </c>
      <c r="C466" t="s">
        <v>11</v>
      </c>
      <c r="D466" t="s">
        <v>12</v>
      </c>
      <c r="E466">
        <v>4990</v>
      </c>
      <c r="F466">
        <v>1.25</v>
      </c>
      <c r="G466">
        <v>1.05</v>
      </c>
      <c r="H466">
        <v>6237.5</v>
      </c>
      <c r="I466">
        <v>5239.5</v>
      </c>
      <c r="J466">
        <v>998</v>
      </c>
      <c r="K466" t="s">
        <v>43</v>
      </c>
    </row>
    <row r="467" spans="1:11" x14ac:dyDescent="0.2">
      <c r="A467" s="1">
        <v>45367</v>
      </c>
      <c r="B467" t="s">
        <v>22</v>
      </c>
      <c r="C467" t="s">
        <v>29</v>
      </c>
      <c r="D467" t="s">
        <v>18</v>
      </c>
      <c r="E467">
        <v>3778</v>
      </c>
      <c r="F467">
        <v>1.2</v>
      </c>
      <c r="G467">
        <v>1</v>
      </c>
      <c r="H467">
        <v>4533.5999999999904</v>
      </c>
      <c r="I467">
        <v>3778</v>
      </c>
      <c r="J467">
        <v>755.599999999999</v>
      </c>
      <c r="K467" t="s">
        <v>37</v>
      </c>
    </row>
    <row r="468" spans="1:11" x14ac:dyDescent="0.2">
      <c r="A468" s="1">
        <v>45445</v>
      </c>
      <c r="B468" t="s">
        <v>24</v>
      </c>
      <c r="C468" t="s">
        <v>17</v>
      </c>
      <c r="D468" t="s">
        <v>12</v>
      </c>
      <c r="E468">
        <v>5955</v>
      </c>
      <c r="F468">
        <v>1.25</v>
      </c>
      <c r="G468">
        <v>1.05</v>
      </c>
      <c r="H468">
        <v>7443.75</v>
      </c>
      <c r="I468">
        <v>6252.75</v>
      </c>
      <c r="J468">
        <v>1191</v>
      </c>
      <c r="K468" t="s">
        <v>40</v>
      </c>
    </row>
    <row r="469" spans="1:11" x14ac:dyDescent="0.2">
      <c r="A469" s="1">
        <v>45435</v>
      </c>
      <c r="B469" t="s">
        <v>21</v>
      </c>
      <c r="C469" t="s">
        <v>29</v>
      </c>
      <c r="D469" t="s">
        <v>14</v>
      </c>
      <c r="E469">
        <v>3140</v>
      </c>
      <c r="F469">
        <v>0.9</v>
      </c>
      <c r="G469">
        <v>0.7</v>
      </c>
      <c r="H469">
        <v>2826</v>
      </c>
      <c r="I469">
        <v>2198</v>
      </c>
      <c r="J469">
        <v>628</v>
      </c>
      <c r="K469" t="s">
        <v>39</v>
      </c>
    </row>
    <row r="470" spans="1:11" x14ac:dyDescent="0.2">
      <c r="A470" s="1">
        <v>45377</v>
      </c>
      <c r="B470" t="s">
        <v>27</v>
      </c>
      <c r="C470" t="s">
        <v>11</v>
      </c>
      <c r="D470" t="s">
        <v>14</v>
      </c>
      <c r="E470">
        <v>4301</v>
      </c>
      <c r="F470">
        <v>0.9</v>
      </c>
      <c r="G470">
        <v>0.7</v>
      </c>
      <c r="H470">
        <v>3870.9</v>
      </c>
      <c r="I470">
        <v>3010.7</v>
      </c>
      <c r="J470">
        <v>860.2</v>
      </c>
      <c r="K470" t="s">
        <v>37</v>
      </c>
    </row>
    <row r="471" spans="1:11" x14ac:dyDescent="0.2">
      <c r="A471" s="1">
        <v>45476</v>
      </c>
      <c r="B471" t="s">
        <v>31</v>
      </c>
      <c r="C471" t="s">
        <v>23</v>
      </c>
      <c r="D471" t="s">
        <v>12</v>
      </c>
      <c r="E471">
        <v>3061</v>
      </c>
      <c r="F471">
        <v>1.25</v>
      </c>
      <c r="G471">
        <v>1.05</v>
      </c>
      <c r="H471">
        <v>3826.25</v>
      </c>
      <c r="I471">
        <v>3214.05</v>
      </c>
      <c r="J471">
        <v>612.19999999999902</v>
      </c>
      <c r="K471" t="s">
        <v>41</v>
      </c>
    </row>
    <row r="472" spans="1:11" x14ac:dyDescent="0.2">
      <c r="A472" s="1">
        <v>45576</v>
      </c>
      <c r="B472" t="s">
        <v>22</v>
      </c>
      <c r="C472" t="s">
        <v>23</v>
      </c>
      <c r="D472" t="s">
        <v>12</v>
      </c>
      <c r="E472">
        <v>3749</v>
      </c>
      <c r="F472">
        <v>1.25</v>
      </c>
      <c r="G472">
        <v>1.05</v>
      </c>
      <c r="H472">
        <v>4686.25</v>
      </c>
      <c r="I472">
        <v>3936.45</v>
      </c>
      <c r="J472">
        <v>749.79999999999905</v>
      </c>
      <c r="K472" t="s">
        <v>44</v>
      </c>
    </row>
    <row r="473" spans="1:11" x14ac:dyDescent="0.2">
      <c r="A473" s="1">
        <v>45511</v>
      </c>
      <c r="B473" t="s">
        <v>26</v>
      </c>
      <c r="C473" t="s">
        <v>17</v>
      </c>
      <c r="D473" t="s">
        <v>14</v>
      </c>
      <c r="E473">
        <v>870</v>
      </c>
      <c r="F473">
        <v>0.9</v>
      </c>
      <c r="G473">
        <v>0.7</v>
      </c>
      <c r="H473">
        <v>783</v>
      </c>
      <c r="I473">
        <v>609</v>
      </c>
      <c r="J473">
        <v>174</v>
      </c>
      <c r="K473" t="s">
        <v>42</v>
      </c>
    </row>
    <row r="474" spans="1:11" x14ac:dyDescent="0.2">
      <c r="A474" s="1">
        <v>45360</v>
      </c>
      <c r="B474" t="s">
        <v>30</v>
      </c>
      <c r="C474" t="s">
        <v>20</v>
      </c>
      <c r="D474" t="s">
        <v>12</v>
      </c>
      <c r="E474">
        <v>1357</v>
      </c>
      <c r="F474">
        <v>1.25</v>
      </c>
      <c r="G474">
        <v>1.05</v>
      </c>
      <c r="H474">
        <v>1696.25</v>
      </c>
      <c r="I474">
        <v>1424.85</v>
      </c>
      <c r="J474">
        <v>271.39999999999901</v>
      </c>
      <c r="K474" t="s">
        <v>37</v>
      </c>
    </row>
    <row r="475" spans="1:11" x14ac:dyDescent="0.2">
      <c r="A475" s="1">
        <v>45338</v>
      </c>
      <c r="B475" t="s">
        <v>28</v>
      </c>
      <c r="C475" t="s">
        <v>17</v>
      </c>
      <c r="D475" t="s">
        <v>14</v>
      </c>
      <c r="E475">
        <v>5386</v>
      </c>
      <c r="F475">
        <v>0.9</v>
      </c>
      <c r="G475">
        <v>0.7</v>
      </c>
      <c r="H475">
        <v>4847.3999999999996</v>
      </c>
      <c r="I475">
        <v>3770.2</v>
      </c>
      <c r="J475">
        <v>1077.2</v>
      </c>
      <c r="K475" t="s">
        <v>36</v>
      </c>
    </row>
    <row r="476" spans="1:11" x14ac:dyDescent="0.2">
      <c r="A476" s="1">
        <v>45385</v>
      </c>
      <c r="B476" t="s">
        <v>27</v>
      </c>
      <c r="C476" t="s">
        <v>20</v>
      </c>
      <c r="D476" t="s">
        <v>18</v>
      </c>
      <c r="E476">
        <v>5253</v>
      </c>
      <c r="F476">
        <v>1.2</v>
      </c>
      <c r="G476">
        <v>1</v>
      </c>
      <c r="H476">
        <v>6303.5999999999904</v>
      </c>
      <c r="I476">
        <v>5253</v>
      </c>
      <c r="J476">
        <v>1050.5999999999899</v>
      </c>
      <c r="K476" t="s">
        <v>38</v>
      </c>
    </row>
    <row r="477" spans="1:11" x14ac:dyDescent="0.2">
      <c r="A477" s="1">
        <v>45529</v>
      </c>
      <c r="B477" t="s">
        <v>26</v>
      </c>
      <c r="C477" t="s">
        <v>29</v>
      </c>
      <c r="D477" t="s">
        <v>12</v>
      </c>
      <c r="E477">
        <v>5988</v>
      </c>
      <c r="F477">
        <v>1.25</v>
      </c>
      <c r="G477">
        <v>1.05</v>
      </c>
      <c r="H477">
        <v>7485</v>
      </c>
      <c r="I477">
        <v>6287.4</v>
      </c>
      <c r="J477">
        <v>1197.5999999999899</v>
      </c>
      <c r="K477" t="s">
        <v>42</v>
      </c>
    </row>
    <row r="478" spans="1:11" x14ac:dyDescent="0.2">
      <c r="A478" s="1">
        <v>45495</v>
      </c>
      <c r="B478" t="s">
        <v>22</v>
      </c>
      <c r="C478" t="s">
        <v>29</v>
      </c>
      <c r="D478" t="s">
        <v>12</v>
      </c>
      <c r="E478">
        <v>883</v>
      </c>
      <c r="F478">
        <v>1.25</v>
      </c>
      <c r="G478">
        <v>1.05</v>
      </c>
      <c r="H478">
        <v>1103.75</v>
      </c>
      <c r="I478">
        <v>927.15</v>
      </c>
      <c r="J478">
        <v>176.599999999999</v>
      </c>
      <c r="K478" t="s">
        <v>41</v>
      </c>
    </row>
    <row r="479" spans="1:11" x14ac:dyDescent="0.2">
      <c r="A479" s="1">
        <v>45509</v>
      </c>
      <c r="B479" t="s">
        <v>27</v>
      </c>
      <c r="C479" t="s">
        <v>11</v>
      </c>
      <c r="D479" t="s">
        <v>12</v>
      </c>
      <c r="E479">
        <v>4377</v>
      </c>
      <c r="F479">
        <v>1.25</v>
      </c>
      <c r="G479">
        <v>1.05</v>
      </c>
      <c r="H479">
        <v>5471.25</v>
      </c>
      <c r="I479">
        <v>4595.8500000000004</v>
      </c>
      <c r="J479">
        <v>875.39999999999895</v>
      </c>
      <c r="K479" t="s">
        <v>42</v>
      </c>
    </row>
    <row r="480" spans="1:11" x14ac:dyDescent="0.2">
      <c r="A480" s="1">
        <v>45632</v>
      </c>
      <c r="B480" t="s">
        <v>16</v>
      </c>
      <c r="C480" t="s">
        <v>20</v>
      </c>
      <c r="D480" t="s">
        <v>18</v>
      </c>
      <c r="E480">
        <v>3052</v>
      </c>
      <c r="F480">
        <v>1.2</v>
      </c>
      <c r="G480">
        <v>1</v>
      </c>
      <c r="H480">
        <v>3662.4</v>
      </c>
      <c r="I480">
        <v>3052</v>
      </c>
      <c r="J480">
        <v>610.4</v>
      </c>
      <c r="K480" t="s">
        <v>46</v>
      </c>
    </row>
    <row r="481" spans="1:11" x14ac:dyDescent="0.2">
      <c r="A481" s="1">
        <v>45330</v>
      </c>
      <c r="B481" t="s">
        <v>31</v>
      </c>
      <c r="C481" t="s">
        <v>11</v>
      </c>
      <c r="D481" t="s">
        <v>12</v>
      </c>
      <c r="E481">
        <v>4834</v>
      </c>
      <c r="F481">
        <v>1.25</v>
      </c>
      <c r="G481">
        <v>1.05</v>
      </c>
      <c r="H481">
        <v>6042.5</v>
      </c>
      <c r="I481">
        <v>5075.7</v>
      </c>
      <c r="J481">
        <v>966.8</v>
      </c>
      <c r="K481" t="s">
        <v>36</v>
      </c>
    </row>
    <row r="482" spans="1:11" x14ac:dyDescent="0.2">
      <c r="A482" s="1">
        <v>45391</v>
      </c>
      <c r="B482" t="s">
        <v>10</v>
      </c>
      <c r="C482" t="s">
        <v>23</v>
      </c>
      <c r="D482" t="s">
        <v>18</v>
      </c>
      <c r="E482">
        <v>4790</v>
      </c>
      <c r="F482">
        <v>1.2</v>
      </c>
      <c r="G482">
        <v>1</v>
      </c>
      <c r="H482">
        <v>5748</v>
      </c>
      <c r="I482">
        <v>4790</v>
      </c>
      <c r="J482">
        <v>958</v>
      </c>
      <c r="K482" t="s">
        <v>38</v>
      </c>
    </row>
    <row r="483" spans="1:11" x14ac:dyDescent="0.2">
      <c r="A483" s="1">
        <v>45580</v>
      </c>
      <c r="B483" t="s">
        <v>22</v>
      </c>
      <c r="C483" t="s">
        <v>20</v>
      </c>
      <c r="D483" t="s">
        <v>12</v>
      </c>
      <c r="E483">
        <v>3225</v>
      </c>
      <c r="F483">
        <v>1.25</v>
      </c>
      <c r="G483">
        <v>1.05</v>
      </c>
      <c r="H483">
        <v>4031.25</v>
      </c>
      <c r="I483">
        <v>3386.25</v>
      </c>
      <c r="J483">
        <v>645</v>
      </c>
      <c r="K483" t="s">
        <v>44</v>
      </c>
    </row>
    <row r="484" spans="1:11" x14ac:dyDescent="0.2">
      <c r="A484" s="1">
        <v>45545</v>
      </c>
      <c r="B484" t="s">
        <v>16</v>
      </c>
      <c r="C484" t="s">
        <v>17</v>
      </c>
      <c r="D484" t="s">
        <v>18</v>
      </c>
      <c r="E484">
        <v>4534</v>
      </c>
      <c r="F484">
        <v>1.2</v>
      </c>
      <c r="G484">
        <v>1</v>
      </c>
      <c r="H484">
        <v>5440.8</v>
      </c>
      <c r="I484">
        <v>4534</v>
      </c>
      <c r="J484">
        <v>906.8</v>
      </c>
      <c r="K484" t="s">
        <v>43</v>
      </c>
    </row>
    <row r="485" spans="1:11" x14ac:dyDescent="0.2">
      <c r="A485" s="1">
        <v>45513</v>
      </c>
      <c r="B485" t="s">
        <v>25</v>
      </c>
      <c r="C485" t="s">
        <v>23</v>
      </c>
      <c r="D485" t="s">
        <v>14</v>
      </c>
      <c r="E485">
        <v>3793</v>
      </c>
      <c r="F485">
        <v>0.9</v>
      </c>
      <c r="G485">
        <v>0.7</v>
      </c>
      <c r="H485">
        <v>3413.7</v>
      </c>
      <c r="I485">
        <v>2655.1</v>
      </c>
      <c r="J485">
        <v>758.6</v>
      </c>
      <c r="K485" t="s">
        <v>42</v>
      </c>
    </row>
    <row r="486" spans="1:11" x14ac:dyDescent="0.2">
      <c r="A486" s="1">
        <v>45648</v>
      </c>
      <c r="B486" t="s">
        <v>24</v>
      </c>
      <c r="C486" t="s">
        <v>23</v>
      </c>
      <c r="D486" t="s">
        <v>14</v>
      </c>
      <c r="E486">
        <v>5748</v>
      </c>
      <c r="F486">
        <v>0.9</v>
      </c>
      <c r="G486">
        <v>0.7</v>
      </c>
      <c r="H486">
        <v>5173.2</v>
      </c>
      <c r="I486">
        <v>4023.6</v>
      </c>
      <c r="J486">
        <v>1149.5999999999999</v>
      </c>
      <c r="K486" t="s">
        <v>46</v>
      </c>
    </row>
    <row r="487" spans="1:11" x14ac:dyDescent="0.2">
      <c r="A487" s="1">
        <v>45314</v>
      </c>
      <c r="B487" t="s">
        <v>30</v>
      </c>
      <c r="C487" t="s">
        <v>17</v>
      </c>
      <c r="D487" t="s">
        <v>12</v>
      </c>
      <c r="E487">
        <v>4751</v>
      </c>
      <c r="F487">
        <v>1.25</v>
      </c>
      <c r="G487">
        <v>1.05</v>
      </c>
      <c r="H487">
        <v>5938.75</v>
      </c>
      <c r="I487">
        <v>4988.55</v>
      </c>
      <c r="J487">
        <v>950.19999999999902</v>
      </c>
      <c r="K487" t="s">
        <v>35</v>
      </c>
    </row>
    <row r="488" spans="1:11" x14ac:dyDescent="0.2">
      <c r="A488" s="1">
        <v>45541</v>
      </c>
      <c r="B488" t="s">
        <v>15</v>
      </c>
      <c r="C488" t="s">
        <v>23</v>
      </c>
      <c r="D488" t="s">
        <v>18</v>
      </c>
      <c r="E488">
        <v>4488</v>
      </c>
      <c r="F488">
        <v>1.2</v>
      </c>
      <c r="G488">
        <v>1</v>
      </c>
      <c r="H488">
        <v>5385.5999999999904</v>
      </c>
      <c r="I488">
        <v>4488</v>
      </c>
      <c r="J488">
        <v>897.599999999999</v>
      </c>
      <c r="K488" t="s">
        <v>43</v>
      </c>
    </row>
    <row r="489" spans="1:11" x14ac:dyDescent="0.2">
      <c r="A489" s="1">
        <v>45301</v>
      </c>
      <c r="B489" t="s">
        <v>31</v>
      </c>
      <c r="C489" t="s">
        <v>20</v>
      </c>
      <c r="D489" t="s">
        <v>18</v>
      </c>
      <c r="E489">
        <v>1422</v>
      </c>
      <c r="F489">
        <v>1.2</v>
      </c>
      <c r="G489">
        <v>1</v>
      </c>
      <c r="H489">
        <v>1706.3999999999901</v>
      </c>
      <c r="I489">
        <v>1422</v>
      </c>
      <c r="J489">
        <v>284.39999999999901</v>
      </c>
      <c r="K489" t="s">
        <v>35</v>
      </c>
    </row>
    <row r="490" spans="1:11" x14ac:dyDescent="0.2">
      <c r="A490" s="1">
        <v>45537</v>
      </c>
      <c r="B490" t="s">
        <v>27</v>
      </c>
      <c r="C490" t="s">
        <v>11</v>
      </c>
      <c r="D490" t="s">
        <v>18</v>
      </c>
      <c r="E490">
        <v>3415</v>
      </c>
      <c r="F490">
        <v>1.2</v>
      </c>
      <c r="G490">
        <v>1</v>
      </c>
      <c r="H490">
        <v>4098</v>
      </c>
      <c r="I490">
        <v>3415</v>
      </c>
      <c r="J490">
        <v>683</v>
      </c>
      <c r="K490" t="s">
        <v>43</v>
      </c>
    </row>
    <row r="491" spans="1:11" x14ac:dyDescent="0.2">
      <c r="A491" s="1">
        <v>45616</v>
      </c>
      <c r="B491" t="s">
        <v>28</v>
      </c>
      <c r="C491" t="s">
        <v>23</v>
      </c>
      <c r="D491" t="s">
        <v>14</v>
      </c>
      <c r="E491">
        <v>3450</v>
      </c>
      <c r="F491">
        <v>0.9</v>
      </c>
      <c r="G491">
        <v>0.7</v>
      </c>
      <c r="H491">
        <v>3105</v>
      </c>
      <c r="I491">
        <v>2415</v>
      </c>
      <c r="J491">
        <v>690</v>
      </c>
      <c r="K491" t="s">
        <v>45</v>
      </c>
    </row>
    <row r="492" spans="1:11" x14ac:dyDescent="0.2">
      <c r="A492" s="1">
        <v>45391</v>
      </c>
      <c r="B492" t="s">
        <v>26</v>
      </c>
      <c r="C492" t="s">
        <v>20</v>
      </c>
      <c r="D492" t="s">
        <v>12</v>
      </c>
      <c r="E492">
        <v>3546</v>
      </c>
      <c r="F492">
        <v>1.25</v>
      </c>
      <c r="G492">
        <v>1.05</v>
      </c>
      <c r="H492">
        <v>4432.5</v>
      </c>
      <c r="I492">
        <v>3723.3</v>
      </c>
      <c r="J492">
        <v>709.19999999999902</v>
      </c>
      <c r="K492" t="s">
        <v>38</v>
      </c>
    </row>
    <row r="493" spans="1:11" x14ac:dyDescent="0.2">
      <c r="A493" s="1">
        <v>45581</v>
      </c>
      <c r="B493" t="s">
        <v>15</v>
      </c>
      <c r="C493" t="s">
        <v>29</v>
      </c>
      <c r="D493" t="s">
        <v>12</v>
      </c>
      <c r="E493">
        <v>1474</v>
      </c>
      <c r="F493">
        <v>1.25</v>
      </c>
      <c r="G493">
        <v>1.05</v>
      </c>
      <c r="H493">
        <v>1842.5</v>
      </c>
      <c r="I493">
        <v>1547.7</v>
      </c>
      <c r="J493">
        <v>294.79999999999899</v>
      </c>
      <c r="K493" t="s">
        <v>44</v>
      </c>
    </row>
    <row r="494" spans="1:11" x14ac:dyDescent="0.2">
      <c r="A494" s="1">
        <v>45471</v>
      </c>
      <c r="B494" t="s">
        <v>21</v>
      </c>
      <c r="C494" t="s">
        <v>20</v>
      </c>
      <c r="D494" t="s">
        <v>14</v>
      </c>
      <c r="E494">
        <v>1730</v>
      </c>
      <c r="F494">
        <v>0.9</v>
      </c>
      <c r="G494">
        <v>0.7</v>
      </c>
      <c r="H494">
        <v>1557</v>
      </c>
      <c r="I494">
        <v>1211</v>
      </c>
      <c r="J494">
        <v>346</v>
      </c>
      <c r="K494" t="s">
        <v>40</v>
      </c>
    </row>
    <row r="495" spans="1:11" x14ac:dyDescent="0.2">
      <c r="A495" s="1">
        <v>45514</v>
      </c>
      <c r="B495" t="s">
        <v>26</v>
      </c>
      <c r="C495" t="s">
        <v>11</v>
      </c>
      <c r="D495" t="s">
        <v>12</v>
      </c>
      <c r="E495">
        <v>2935</v>
      </c>
      <c r="F495">
        <v>1.25</v>
      </c>
      <c r="G495">
        <v>1.05</v>
      </c>
      <c r="H495">
        <v>3668.75</v>
      </c>
      <c r="I495">
        <v>3081.75</v>
      </c>
      <c r="J495">
        <v>587</v>
      </c>
      <c r="K495" t="s">
        <v>42</v>
      </c>
    </row>
    <row r="496" spans="1:11" x14ac:dyDescent="0.2">
      <c r="A496" s="1">
        <v>45541</v>
      </c>
      <c r="B496" t="s">
        <v>27</v>
      </c>
      <c r="C496" t="s">
        <v>20</v>
      </c>
      <c r="D496" t="s">
        <v>18</v>
      </c>
      <c r="E496">
        <v>2314</v>
      </c>
      <c r="F496">
        <v>1.2</v>
      </c>
      <c r="G496">
        <v>1</v>
      </c>
      <c r="H496">
        <v>2776.7999999999902</v>
      </c>
      <c r="I496">
        <v>2314</v>
      </c>
      <c r="J496">
        <v>462.79999999999899</v>
      </c>
      <c r="K496" t="s">
        <v>43</v>
      </c>
    </row>
    <row r="497" spans="1:11" x14ac:dyDescent="0.2">
      <c r="A497" s="1">
        <v>45438</v>
      </c>
      <c r="B497" t="s">
        <v>30</v>
      </c>
      <c r="C497" t="s">
        <v>17</v>
      </c>
      <c r="D497" t="s">
        <v>14</v>
      </c>
      <c r="E497">
        <v>3434</v>
      </c>
      <c r="F497">
        <v>0.9</v>
      </c>
      <c r="G497">
        <v>0.7</v>
      </c>
      <c r="H497">
        <v>3090.6</v>
      </c>
      <c r="I497">
        <v>2403.7999999999902</v>
      </c>
      <c r="J497">
        <v>686.8</v>
      </c>
      <c r="K497" t="s">
        <v>39</v>
      </c>
    </row>
    <row r="498" spans="1:11" x14ac:dyDescent="0.2">
      <c r="A498" s="1">
        <v>45387</v>
      </c>
      <c r="B498" t="s">
        <v>32</v>
      </c>
      <c r="C498" t="s">
        <v>11</v>
      </c>
      <c r="D498" t="s">
        <v>12</v>
      </c>
      <c r="E498">
        <v>5433</v>
      </c>
      <c r="F498">
        <v>1.25</v>
      </c>
      <c r="G498">
        <v>1.05</v>
      </c>
      <c r="H498">
        <v>6791.25</v>
      </c>
      <c r="I498">
        <v>5704.65</v>
      </c>
      <c r="J498">
        <v>1086.5999999999899</v>
      </c>
      <c r="K498" t="s">
        <v>38</v>
      </c>
    </row>
    <row r="499" spans="1:11" x14ac:dyDescent="0.2">
      <c r="A499" s="1">
        <v>45548</v>
      </c>
      <c r="B499" t="s">
        <v>26</v>
      </c>
      <c r="C499" t="s">
        <v>29</v>
      </c>
      <c r="D499" t="s">
        <v>14</v>
      </c>
      <c r="E499">
        <v>1863</v>
      </c>
      <c r="F499">
        <v>0.9</v>
      </c>
      <c r="G499">
        <v>0.7</v>
      </c>
      <c r="H499">
        <v>1676.7</v>
      </c>
      <c r="I499">
        <v>1304.0999999999999</v>
      </c>
      <c r="J499">
        <v>372.6</v>
      </c>
      <c r="K499" t="s">
        <v>43</v>
      </c>
    </row>
    <row r="500" spans="1:11" x14ac:dyDescent="0.2">
      <c r="A500" s="1">
        <v>45616</v>
      </c>
      <c r="B500" t="s">
        <v>32</v>
      </c>
      <c r="C500" t="s">
        <v>17</v>
      </c>
      <c r="D500" t="s">
        <v>12</v>
      </c>
      <c r="E500">
        <v>4440</v>
      </c>
      <c r="F500">
        <v>1.25</v>
      </c>
      <c r="G500">
        <v>1.05</v>
      </c>
      <c r="H500">
        <v>5550</v>
      </c>
      <c r="I500">
        <v>4662</v>
      </c>
      <c r="J500">
        <v>888</v>
      </c>
      <c r="K500" t="s">
        <v>45</v>
      </c>
    </row>
    <row r="501" spans="1:11" x14ac:dyDescent="0.2">
      <c r="A501" s="1">
        <v>45295</v>
      </c>
      <c r="B501" t="s">
        <v>24</v>
      </c>
      <c r="C501" t="s">
        <v>20</v>
      </c>
      <c r="D501" t="s">
        <v>18</v>
      </c>
      <c r="E501">
        <v>703</v>
      </c>
      <c r="F501">
        <v>1.2</v>
      </c>
      <c r="G501">
        <v>1</v>
      </c>
      <c r="H501">
        <v>843.6</v>
      </c>
      <c r="I501">
        <v>703</v>
      </c>
      <c r="J501">
        <v>140.6</v>
      </c>
      <c r="K501" t="s">
        <v>35</v>
      </c>
    </row>
    <row r="502" spans="1:11" x14ac:dyDescent="0.2">
      <c r="A502" s="1">
        <v>45307</v>
      </c>
      <c r="B502" t="s">
        <v>30</v>
      </c>
      <c r="C502" t="s">
        <v>11</v>
      </c>
      <c r="D502" t="s">
        <v>18</v>
      </c>
      <c r="E502">
        <v>660</v>
      </c>
      <c r="F502">
        <v>1.2</v>
      </c>
      <c r="G502">
        <v>1</v>
      </c>
      <c r="H502">
        <v>792</v>
      </c>
      <c r="I502">
        <v>660</v>
      </c>
      <c r="J502">
        <v>132</v>
      </c>
      <c r="K502" t="s">
        <v>35</v>
      </c>
    </row>
    <row r="503" spans="1:11" x14ac:dyDescent="0.2">
      <c r="A503" s="1">
        <v>45571</v>
      </c>
      <c r="B503" t="s">
        <v>22</v>
      </c>
      <c r="C503" t="s">
        <v>29</v>
      </c>
      <c r="D503" t="s">
        <v>14</v>
      </c>
      <c r="E503">
        <v>4987</v>
      </c>
      <c r="F503">
        <v>0.9</v>
      </c>
      <c r="G503">
        <v>0.7</v>
      </c>
      <c r="H503">
        <v>4488.3</v>
      </c>
      <c r="I503">
        <v>3490.8999999999901</v>
      </c>
      <c r="J503">
        <v>997.4</v>
      </c>
      <c r="K503" t="s">
        <v>44</v>
      </c>
    </row>
    <row r="504" spans="1:11" x14ac:dyDescent="0.2">
      <c r="A504" s="1">
        <v>45627</v>
      </c>
      <c r="B504" t="s">
        <v>16</v>
      </c>
      <c r="C504" t="s">
        <v>17</v>
      </c>
      <c r="D504" t="s">
        <v>12</v>
      </c>
      <c r="E504">
        <v>1268</v>
      </c>
      <c r="F504">
        <v>1.25</v>
      </c>
      <c r="G504">
        <v>1.05</v>
      </c>
      <c r="H504">
        <v>1585</v>
      </c>
      <c r="I504">
        <v>1331.4</v>
      </c>
      <c r="J504">
        <v>253.599999999999</v>
      </c>
      <c r="K504" t="s">
        <v>46</v>
      </c>
    </row>
    <row r="505" spans="1:11" x14ac:dyDescent="0.2">
      <c r="A505" s="1">
        <v>45538</v>
      </c>
      <c r="B505" t="s">
        <v>21</v>
      </c>
      <c r="C505" t="s">
        <v>29</v>
      </c>
      <c r="D505" t="s">
        <v>12</v>
      </c>
      <c r="E505">
        <v>4248</v>
      </c>
      <c r="F505">
        <v>1.25</v>
      </c>
      <c r="G505">
        <v>1.05</v>
      </c>
      <c r="H505">
        <v>5310</v>
      </c>
      <c r="I505">
        <v>4460.3999999999996</v>
      </c>
      <c r="J505">
        <v>849.599999999999</v>
      </c>
      <c r="K505" t="s">
        <v>43</v>
      </c>
    </row>
    <row r="506" spans="1:11" x14ac:dyDescent="0.2">
      <c r="A506" s="1">
        <v>45549</v>
      </c>
      <c r="B506" t="s">
        <v>19</v>
      </c>
      <c r="C506" t="s">
        <v>20</v>
      </c>
      <c r="D506" t="s">
        <v>18</v>
      </c>
      <c r="E506">
        <v>3081</v>
      </c>
      <c r="F506">
        <v>1.2</v>
      </c>
      <c r="G506">
        <v>1</v>
      </c>
      <c r="H506">
        <v>3697.2</v>
      </c>
      <c r="I506">
        <v>3081</v>
      </c>
      <c r="J506">
        <v>616.19999999999902</v>
      </c>
      <c r="K506" t="s">
        <v>43</v>
      </c>
    </row>
    <row r="507" spans="1:11" x14ac:dyDescent="0.2">
      <c r="A507" s="1">
        <v>45451</v>
      </c>
      <c r="B507" t="s">
        <v>27</v>
      </c>
      <c r="C507" t="s">
        <v>29</v>
      </c>
      <c r="D507" t="s">
        <v>18</v>
      </c>
      <c r="E507">
        <v>1593</v>
      </c>
      <c r="F507">
        <v>1.2</v>
      </c>
      <c r="G507">
        <v>1</v>
      </c>
      <c r="H507">
        <v>1911.6</v>
      </c>
      <c r="I507">
        <v>1593</v>
      </c>
      <c r="J507">
        <v>318.599999999999</v>
      </c>
      <c r="K507" t="s">
        <v>40</v>
      </c>
    </row>
    <row r="508" spans="1:11" x14ac:dyDescent="0.2">
      <c r="A508" s="1">
        <v>45631</v>
      </c>
      <c r="B508" t="s">
        <v>13</v>
      </c>
      <c r="C508" t="s">
        <v>23</v>
      </c>
      <c r="D508" t="s">
        <v>18</v>
      </c>
      <c r="E508">
        <v>5000</v>
      </c>
      <c r="F508">
        <v>1.2</v>
      </c>
      <c r="G508">
        <v>1</v>
      </c>
      <c r="H508">
        <v>6000</v>
      </c>
      <c r="I508">
        <v>5000</v>
      </c>
      <c r="J508">
        <v>1000</v>
      </c>
      <c r="K508" t="s">
        <v>46</v>
      </c>
    </row>
    <row r="509" spans="1:11" x14ac:dyDescent="0.2">
      <c r="A509" s="1">
        <v>45443</v>
      </c>
      <c r="B509" t="s">
        <v>19</v>
      </c>
      <c r="C509" t="s">
        <v>17</v>
      </c>
      <c r="D509" t="s">
        <v>12</v>
      </c>
      <c r="E509">
        <v>1107</v>
      </c>
      <c r="F509">
        <v>1.25</v>
      </c>
      <c r="G509">
        <v>1.05</v>
      </c>
      <c r="H509">
        <v>1383.75</v>
      </c>
      <c r="I509">
        <v>1162.3499999999999</v>
      </c>
      <c r="J509">
        <v>221.39999999999901</v>
      </c>
      <c r="K509" t="s">
        <v>39</v>
      </c>
    </row>
    <row r="510" spans="1:11" x14ac:dyDescent="0.2">
      <c r="A510" s="1">
        <v>45469</v>
      </c>
      <c r="B510" t="s">
        <v>26</v>
      </c>
      <c r="C510" t="s">
        <v>29</v>
      </c>
      <c r="D510" t="s">
        <v>12</v>
      </c>
      <c r="E510">
        <v>2040</v>
      </c>
      <c r="F510">
        <v>1.25</v>
      </c>
      <c r="G510">
        <v>1.05</v>
      </c>
      <c r="H510">
        <v>2550</v>
      </c>
      <c r="I510">
        <v>2142</v>
      </c>
      <c r="J510">
        <v>408</v>
      </c>
      <c r="K510" t="s">
        <v>40</v>
      </c>
    </row>
    <row r="511" spans="1:11" x14ac:dyDescent="0.2">
      <c r="A511" s="1">
        <v>45454</v>
      </c>
      <c r="B511" t="s">
        <v>15</v>
      </c>
      <c r="C511" t="s">
        <v>20</v>
      </c>
      <c r="D511" t="s">
        <v>12</v>
      </c>
      <c r="E511">
        <v>3375</v>
      </c>
      <c r="F511">
        <v>1.25</v>
      </c>
      <c r="G511">
        <v>1.05</v>
      </c>
      <c r="H511">
        <v>4218.75</v>
      </c>
      <c r="I511">
        <v>3543.75</v>
      </c>
      <c r="J511">
        <v>675</v>
      </c>
      <c r="K511" t="s">
        <v>40</v>
      </c>
    </row>
    <row r="512" spans="1:11" x14ac:dyDescent="0.2">
      <c r="A512" s="1">
        <v>45324</v>
      </c>
      <c r="B512" t="s">
        <v>27</v>
      </c>
      <c r="C512" t="s">
        <v>20</v>
      </c>
      <c r="D512" t="s">
        <v>18</v>
      </c>
      <c r="E512">
        <v>3691</v>
      </c>
      <c r="F512">
        <v>1.2</v>
      </c>
      <c r="G512">
        <v>1</v>
      </c>
      <c r="H512">
        <v>4429.2</v>
      </c>
      <c r="I512">
        <v>3691</v>
      </c>
      <c r="J512">
        <v>738.19999999999902</v>
      </c>
      <c r="K512" t="s">
        <v>36</v>
      </c>
    </row>
    <row r="513" spans="1:11" x14ac:dyDescent="0.2">
      <c r="A513" s="1">
        <v>45470</v>
      </c>
      <c r="B513" t="s">
        <v>16</v>
      </c>
      <c r="C513" t="s">
        <v>29</v>
      </c>
      <c r="D513" t="s">
        <v>12</v>
      </c>
      <c r="E513">
        <v>2337</v>
      </c>
      <c r="F513">
        <v>1.25</v>
      </c>
      <c r="G513">
        <v>1.05</v>
      </c>
      <c r="H513">
        <v>2921.25</v>
      </c>
      <c r="I513">
        <v>2453.85</v>
      </c>
      <c r="J513">
        <v>467.4</v>
      </c>
      <c r="K513" t="s">
        <v>40</v>
      </c>
    </row>
    <row r="514" spans="1:11" x14ac:dyDescent="0.2">
      <c r="A514" s="1">
        <v>45392</v>
      </c>
      <c r="B514" t="s">
        <v>25</v>
      </c>
      <c r="C514" t="s">
        <v>20</v>
      </c>
      <c r="D514" t="s">
        <v>12</v>
      </c>
      <c r="E514">
        <v>1189</v>
      </c>
      <c r="F514">
        <v>1.25</v>
      </c>
      <c r="G514">
        <v>1.05</v>
      </c>
      <c r="H514">
        <v>1486.25</v>
      </c>
      <c r="I514">
        <v>1248.45</v>
      </c>
      <c r="J514">
        <v>237.79999999999899</v>
      </c>
      <c r="K514" t="s">
        <v>38</v>
      </c>
    </row>
    <row r="515" spans="1:11" x14ac:dyDescent="0.2">
      <c r="A515" s="1">
        <v>45559</v>
      </c>
      <c r="B515" t="s">
        <v>16</v>
      </c>
      <c r="C515" t="s">
        <v>11</v>
      </c>
      <c r="D515" t="s">
        <v>14</v>
      </c>
      <c r="E515">
        <v>4259</v>
      </c>
      <c r="F515">
        <v>0.9</v>
      </c>
      <c r="G515">
        <v>0.7</v>
      </c>
      <c r="H515">
        <v>3833.1</v>
      </c>
      <c r="I515">
        <v>2981.2999999999902</v>
      </c>
      <c r="J515">
        <v>851.8</v>
      </c>
      <c r="K515" t="s">
        <v>43</v>
      </c>
    </row>
    <row r="516" spans="1:11" x14ac:dyDescent="0.2">
      <c r="A516" s="1">
        <v>45614</v>
      </c>
      <c r="B516" t="s">
        <v>13</v>
      </c>
      <c r="C516" t="s">
        <v>11</v>
      </c>
      <c r="D516" t="s">
        <v>12</v>
      </c>
      <c r="E516">
        <v>3449</v>
      </c>
      <c r="F516">
        <v>1.25</v>
      </c>
      <c r="G516">
        <v>1.05</v>
      </c>
      <c r="H516">
        <v>4311.25</v>
      </c>
      <c r="I516">
        <v>3621.45</v>
      </c>
      <c r="J516">
        <v>689.79999999999905</v>
      </c>
      <c r="K516" t="s">
        <v>45</v>
      </c>
    </row>
    <row r="517" spans="1:11" x14ac:dyDescent="0.2">
      <c r="A517" s="1">
        <v>45356</v>
      </c>
      <c r="B517" t="s">
        <v>21</v>
      </c>
      <c r="C517" t="s">
        <v>11</v>
      </c>
      <c r="D517" t="s">
        <v>14</v>
      </c>
      <c r="E517">
        <v>5836</v>
      </c>
      <c r="F517">
        <v>0.9</v>
      </c>
      <c r="G517">
        <v>0.7</v>
      </c>
      <c r="H517">
        <v>5252.4</v>
      </c>
      <c r="I517">
        <v>4085.2</v>
      </c>
      <c r="J517">
        <v>1167.2</v>
      </c>
      <c r="K517" t="s">
        <v>37</v>
      </c>
    </row>
    <row r="518" spans="1:11" x14ac:dyDescent="0.2">
      <c r="A518" s="1">
        <v>45459</v>
      </c>
      <c r="B518" t="s">
        <v>16</v>
      </c>
      <c r="C518" t="s">
        <v>23</v>
      </c>
      <c r="D518" t="s">
        <v>18</v>
      </c>
      <c r="E518">
        <v>2603</v>
      </c>
      <c r="F518">
        <v>1.2</v>
      </c>
      <c r="G518">
        <v>1</v>
      </c>
      <c r="H518">
        <v>3123.6</v>
      </c>
      <c r="I518">
        <v>2603</v>
      </c>
      <c r="J518">
        <v>520.599999999999</v>
      </c>
      <c r="K518" t="s">
        <v>40</v>
      </c>
    </row>
    <row r="519" spans="1:11" x14ac:dyDescent="0.2">
      <c r="A519" s="1">
        <v>45621</v>
      </c>
      <c r="B519" t="s">
        <v>28</v>
      </c>
      <c r="C519" t="s">
        <v>29</v>
      </c>
      <c r="D519" t="s">
        <v>18</v>
      </c>
      <c r="E519">
        <v>865</v>
      </c>
      <c r="F519">
        <v>1.2</v>
      </c>
      <c r="G519">
        <v>1</v>
      </c>
      <c r="H519">
        <v>1038</v>
      </c>
      <c r="I519">
        <v>865</v>
      </c>
      <c r="J519">
        <v>173</v>
      </c>
      <c r="K519" t="s">
        <v>45</v>
      </c>
    </row>
    <row r="520" spans="1:11" x14ac:dyDescent="0.2">
      <c r="A520" s="1">
        <v>45334</v>
      </c>
      <c r="B520" t="s">
        <v>25</v>
      </c>
      <c r="C520" t="s">
        <v>23</v>
      </c>
      <c r="D520" t="s">
        <v>12</v>
      </c>
      <c r="E520">
        <v>4075</v>
      </c>
      <c r="F520">
        <v>1.25</v>
      </c>
      <c r="G520">
        <v>1.05</v>
      </c>
      <c r="H520">
        <v>5093.75</v>
      </c>
      <c r="I520">
        <v>4278.75</v>
      </c>
      <c r="J520">
        <v>815</v>
      </c>
      <c r="K520" t="s">
        <v>36</v>
      </c>
    </row>
    <row r="521" spans="1:11" x14ac:dyDescent="0.2">
      <c r="A521" s="1">
        <v>45335</v>
      </c>
      <c r="B521" t="s">
        <v>19</v>
      </c>
      <c r="C521" t="s">
        <v>20</v>
      </c>
      <c r="D521" t="s">
        <v>12</v>
      </c>
      <c r="E521">
        <v>5050</v>
      </c>
      <c r="F521">
        <v>1.25</v>
      </c>
      <c r="G521">
        <v>1.05</v>
      </c>
      <c r="H521">
        <v>6312.5</v>
      </c>
      <c r="I521">
        <v>5302.5</v>
      </c>
      <c r="J521">
        <v>1010</v>
      </c>
      <c r="K521" t="s">
        <v>36</v>
      </c>
    </row>
    <row r="522" spans="1:11" x14ac:dyDescent="0.2">
      <c r="A522" s="1">
        <v>45576</v>
      </c>
      <c r="B522" t="s">
        <v>22</v>
      </c>
      <c r="C522" t="s">
        <v>23</v>
      </c>
      <c r="D522" t="s">
        <v>18</v>
      </c>
      <c r="E522">
        <v>4699</v>
      </c>
      <c r="F522">
        <v>1.2</v>
      </c>
      <c r="G522">
        <v>1</v>
      </c>
      <c r="H522">
        <v>5638.8</v>
      </c>
      <c r="I522">
        <v>4699</v>
      </c>
      <c r="J522">
        <v>939.8</v>
      </c>
      <c r="K522" t="s">
        <v>44</v>
      </c>
    </row>
    <row r="523" spans="1:11" x14ac:dyDescent="0.2">
      <c r="A523" s="1">
        <v>45303</v>
      </c>
      <c r="B523" t="s">
        <v>24</v>
      </c>
      <c r="C523" t="s">
        <v>20</v>
      </c>
      <c r="D523" t="s">
        <v>18</v>
      </c>
      <c r="E523">
        <v>4672</v>
      </c>
      <c r="F523">
        <v>1.2</v>
      </c>
      <c r="G523">
        <v>1</v>
      </c>
      <c r="H523">
        <v>5606.4</v>
      </c>
      <c r="I523">
        <v>4672</v>
      </c>
      <c r="J523">
        <v>934.39999999999895</v>
      </c>
      <c r="K523" t="s">
        <v>35</v>
      </c>
    </row>
    <row r="524" spans="1:11" x14ac:dyDescent="0.2">
      <c r="A524" s="1">
        <v>45386</v>
      </c>
      <c r="B524" t="s">
        <v>28</v>
      </c>
      <c r="C524" t="s">
        <v>20</v>
      </c>
      <c r="D524" t="s">
        <v>18</v>
      </c>
      <c r="E524">
        <v>4825</v>
      </c>
      <c r="F524">
        <v>1.2</v>
      </c>
      <c r="G524">
        <v>1</v>
      </c>
      <c r="H524">
        <v>5790</v>
      </c>
      <c r="I524">
        <v>4825</v>
      </c>
      <c r="J524">
        <v>965</v>
      </c>
      <c r="K524" t="s">
        <v>38</v>
      </c>
    </row>
    <row r="525" spans="1:11" x14ac:dyDescent="0.2">
      <c r="A525" s="1">
        <v>45593</v>
      </c>
      <c r="B525" t="s">
        <v>10</v>
      </c>
      <c r="C525" t="s">
        <v>17</v>
      </c>
      <c r="D525" t="s">
        <v>12</v>
      </c>
      <c r="E525">
        <v>2878</v>
      </c>
      <c r="F525">
        <v>1.25</v>
      </c>
      <c r="G525">
        <v>1.05</v>
      </c>
      <c r="H525">
        <v>3597.5</v>
      </c>
      <c r="I525">
        <v>3021.9</v>
      </c>
      <c r="J525">
        <v>575.599999999999</v>
      </c>
      <c r="K525" t="s">
        <v>44</v>
      </c>
    </row>
    <row r="526" spans="1:11" x14ac:dyDescent="0.2">
      <c r="A526" s="1">
        <v>45544</v>
      </c>
      <c r="B526" t="s">
        <v>25</v>
      </c>
      <c r="C526" t="s">
        <v>11</v>
      </c>
      <c r="D526" t="s">
        <v>18</v>
      </c>
      <c r="E526">
        <v>1705</v>
      </c>
      <c r="F526">
        <v>1.2</v>
      </c>
      <c r="G526">
        <v>1</v>
      </c>
      <c r="H526">
        <v>2046</v>
      </c>
      <c r="I526">
        <v>1705</v>
      </c>
      <c r="J526">
        <v>341</v>
      </c>
      <c r="K526" t="s">
        <v>43</v>
      </c>
    </row>
    <row r="527" spans="1:11" x14ac:dyDescent="0.2">
      <c r="A527" s="1">
        <v>45533</v>
      </c>
      <c r="B527" t="s">
        <v>22</v>
      </c>
      <c r="C527" t="s">
        <v>20</v>
      </c>
      <c r="D527" t="s">
        <v>18</v>
      </c>
      <c r="E527">
        <v>5488</v>
      </c>
      <c r="F527">
        <v>1.2</v>
      </c>
      <c r="G527">
        <v>1</v>
      </c>
      <c r="H527">
        <v>6585.5999999999904</v>
      </c>
      <c r="I527">
        <v>5488</v>
      </c>
      <c r="J527">
        <v>1097.5999999999899</v>
      </c>
      <c r="K527" t="s">
        <v>42</v>
      </c>
    </row>
    <row r="528" spans="1:11" x14ac:dyDescent="0.2">
      <c r="A528" s="1">
        <v>45326</v>
      </c>
      <c r="B528" t="s">
        <v>22</v>
      </c>
      <c r="C528" t="s">
        <v>17</v>
      </c>
      <c r="D528" t="s">
        <v>18</v>
      </c>
      <c r="E528">
        <v>4339</v>
      </c>
      <c r="F528">
        <v>1.2</v>
      </c>
      <c r="G528">
        <v>1</v>
      </c>
      <c r="H528">
        <v>5206.8</v>
      </c>
      <c r="I528">
        <v>4339</v>
      </c>
      <c r="J528">
        <v>867.8</v>
      </c>
      <c r="K528" t="s">
        <v>36</v>
      </c>
    </row>
    <row r="529" spans="1:11" x14ac:dyDescent="0.2">
      <c r="A529" s="1">
        <v>45506</v>
      </c>
      <c r="B529" t="s">
        <v>27</v>
      </c>
      <c r="C529" t="s">
        <v>11</v>
      </c>
      <c r="D529" t="s">
        <v>18</v>
      </c>
      <c r="E529">
        <v>3235</v>
      </c>
      <c r="F529">
        <v>1.2</v>
      </c>
      <c r="G529">
        <v>1</v>
      </c>
      <c r="H529">
        <v>3882</v>
      </c>
      <c r="I529">
        <v>3235</v>
      </c>
      <c r="J529">
        <v>647</v>
      </c>
      <c r="K529" t="s">
        <v>42</v>
      </c>
    </row>
    <row r="530" spans="1:11" x14ac:dyDescent="0.2">
      <c r="A530" s="1">
        <v>45628</v>
      </c>
      <c r="B530" t="s">
        <v>25</v>
      </c>
      <c r="C530" t="s">
        <v>20</v>
      </c>
      <c r="D530" t="s">
        <v>18</v>
      </c>
      <c r="E530">
        <v>3847</v>
      </c>
      <c r="F530">
        <v>1.2</v>
      </c>
      <c r="G530">
        <v>1</v>
      </c>
      <c r="H530">
        <v>4616.3999999999996</v>
      </c>
      <c r="I530">
        <v>3847</v>
      </c>
      <c r="J530">
        <v>769.39999999999895</v>
      </c>
      <c r="K530" t="s">
        <v>46</v>
      </c>
    </row>
    <row r="531" spans="1:11" x14ac:dyDescent="0.2">
      <c r="A531" s="1">
        <v>45381</v>
      </c>
      <c r="B531" t="s">
        <v>21</v>
      </c>
      <c r="C531" t="s">
        <v>20</v>
      </c>
      <c r="D531" t="s">
        <v>18</v>
      </c>
      <c r="E531">
        <v>2175</v>
      </c>
      <c r="F531">
        <v>1.2</v>
      </c>
      <c r="G531">
        <v>1</v>
      </c>
      <c r="H531">
        <v>2610</v>
      </c>
      <c r="I531">
        <v>2175</v>
      </c>
      <c r="J531">
        <v>435</v>
      </c>
      <c r="K531" t="s">
        <v>37</v>
      </c>
    </row>
    <row r="532" spans="1:11" x14ac:dyDescent="0.2">
      <c r="A532" s="1">
        <v>45555</v>
      </c>
      <c r="B532" t="s">
        <v>26</v>
      </c>
      <c r="C532" t="s">
        <v>23</v>
      </c>
      <c r="D532" t="s">
        <v>12</v>
      </c>
      <c r="E532">
        <v>798</v>
      </c>
      <c r="F532">
        <v>1.25</v>
      </c>
      <c r="G532">
        <v>1.05</v>
      </c>
      <c r="H532">
        <v>997.5</v>
      </c>
      <c r="I532">
        <v>837.9</v>
      </c>
      <c r="J532">
        <v>159.599999999999</v>
      </c>
      <c r="K532" t="s">
        <v>43</v>
      </c>
    </row>
    <row r="533" spans="1:11" x14ac:dyDescent="0.2">
      <c r="A533" s="1">
        <v>45384</v>
      </c>
      <c r="B533" t="s">
        <v>13</v>
      </c>
      <c r="C533" t="s">
        <v>23</v>
      </c>
      <c r="D533" t="s">
        <v>12</v>
      </c>
      <c r="E533">
        <v>1456</v>
      </c>
      <c r="F533">
        <v>1.25</v>
      </c>
      <c r="G533">
        <v>1.05</v>
      </c>
      <c r="H533">
        <v>1820</v>
      </c>
      <c r="I533">
        <v>1528.8</v>
      </c>
      <c r="J533">
        <v>291.2</v>
      </c>
      <c r="K533" t="s">
        <v>38</v>
      </c>
    </row>
    <row r="534" spans="1:11" x14ac:dyDescent="0.2">
      <c r="A534" s="1">
        <v>45381</v>
      </c>
      <c r="B534" t="s">
        <v>10</v>
      </c>
      <c r="C534" t="s">
        <v>11</v>
      </c>
      <c r="D534" t="s">
        <v>12</v>
      </c>
      <c r="E534">
        <v>1614</v>
      </c>
      <c r="F534">
        <v>1.25</v>
      </c>
      <c r="G534">
        <v>1.05</v>
      </c>
      <c r="H534">
        <v>2017.5</v>
      </c>
      <c r="I534">
        <v>1694.7</v>
      </c>
      <c r="J534">
        <v>322.79999999999899</v>
      </c>
      <c r="K534" t="s">
        <v>37</v>
      </c>
    </row>
    <row r="535" spans="1:11" x14ac:dyDescent="0.2">
      <c r="A535" s="1">
        <v>45406</v>
      </c>
      <c r="B535" t="s">
        <v>13</v>
      </c>
      <c r="C535" t="s">
        <v>20</v>
      </c>
      <c r="D535" t="s">
        <v>12</v>
      </c>
      <c r="E535">
        <v>3005</v>
      </c>
      <c r="F535">
        <v>1.25</v>
      </c>
      <c r="G535">
        <v>1.05</v>
      </c>
      <c r="H535">
        <v>3756.25</v>
      </c>
      <c r="I535">
        <v>3155.25</v>
      </c>
      <c r="J535">
        <v>601</v>
      </c>
      <c r="K535" t="s">
        <v>38</v>
      </c>
    </row>
    <row r="536" spans="1:11" x14ac:dyDescent="0.2">
      <c r="A536" s="1">
        <v>45396</v>
      </c>
      <c r="B536" t="s">
        <v>19</v>
      </c>
      <c r="C536" t="s">
        <v>29</v>
      </c>
      <c r="D536" t="s">
        <v>12</v>
      </c>
      <c r="E536">
        <v>1974</v>
      </c>
      <c r="F536">
        <v>1.25</v>
      </c>
      <c r="G536">
        <v>1.05</v>
      </c>
      <c r="H536">
        <v>2467.5</v>
      </c>
      <c r="I536">
        <v>2072.6999999999998</v>
      </c>
      <c r="J536">
        <v>394.79999999999899</v>
      </c>
      <c r="K536" t="s">
        <v>38</v>
      </c>
    </row>
    <row r="537" spans="1:11" x14ac:dyDescent="0.2">
      <c r="A537" s="1">
        <v>45487</v>
      </c>
      <c r="B537" t="s">
        <v>19</v>
      </c>
      <c r="C537" t="s">
        <v>23</v>
      </c>
      <c r="D537" t="s">
        <v>12</v>
      </c>
      <c r="E537">
        <v>4960</v>
      </c>
      <c r="F537">
        <v>1.25</v>
      </c>
      <c r="G537">
        <v>1.05</v>
      </c>
      <c r="H537">
        <v>6200</v>
      </c>
      <c r="I537">
        <v>5208</v>
      </c>
      <c r="J537">
        <v>992</v>
      </c>
      <c r="K537" t="s">
        <v>41</v>
      </c>
    </row>
    <row r="538" spans="1:11" x14ac:dyDescent="0.2">
      <c r="A538" s="1">
        <v>45605</v>
      </c>
      <c r="B538" t="s">
        <v>13</v>
      </c>
      <c r="C538" t="s">
        <v>11</v>
      </c>
      <c r="D538" t="s">
        <v>12</v>
      </c>
      <c r="E538">
        <v>4946</v>
      </c>
      <c r="F538">
        <v>1.25</v>
      </c>
      <c r="G538">
        <v>1.05</v>
      </c>
      <c r="H538">
        <v>6182.5</v>
      </c>
      <c r="I538">
        <v>5193.3</v>
      </c>
      <c r="J538">
        <v>989.19999999999902</v>
      </c>
      <c r="K538" t="s">
        <v>45</v>
      </c>
    </row>
    <row r="539" spans="1:11" x14ac:dyDescent="0.2">
      <c r="A539" s="1">
        <v>45405</v>
      </c>
      <c r="B539" t="s">
        <v>16</v>
      </c>
      <c r="C539" t="s">
        <v>20</v>
      </c>
      <c r="D539" t="s">
        <v>12</v>
      </c>
      <c r="E539">
        <v>4226</v>
      </c>
      <c r="F539">
        <v>1.25</v>
      </c>
      <c r="G539">
        <v>1.05</v>
      </c>
      <c r="H539">
        <v>5282.5</v>
      </c>
      <c r="I539">
        <v>4437.3</v>
      </c>
      <c r="J539">
        <v>845.19999999999902</v>
      </c>
      <c r="K539" t="s">
        <v>38</v>
      </c>
    </row>
    <row r="540" spans="1:11" x14ac:dyDescent="0.2">
      <c r="A540" s="1">
        <v>45366</v>
      </c>
      <c r="B540" t="s">
        <v>21</v>
      </c>
      <c r="C540" t="s">
        <v>20</v>
      </c>
      <c r="D540" t="s">
        <v>18</v>
      </c>
      <c r="E540">
        <v>3971</v>
      </c>
      <c r="F540">
        <v>1.2</v>
      </c>
      <c r="G540">
        <v>1</v>
      </c>
      <c r="H540">
        <v>4765.2</v>
      </c>
      <c r="I540">
        <v>3971</v>
      </c>
      <c r="J540">
        <v>794.19999999999902</v>
      </c>
      <c r="K540" t="s">
        <v>37</v>
      </c>
    </row>
    <row r="541" spans="1:11" x14ac:dyDescent="0.2">
      <c r="A541" s="1">
        <v>45508</v>
      </c>
      <c r="B541" t="s">
        <v>32</v>
      </c>
      <c r="C541" t="s">
        <v>29</v>
      </c>
      <c r="D541" t="s">
        <v>14</v>
      </c>
      <c r="E541">
        <v>3328</v>
      </c>
      <c r="F541">
        <v>0.9</v>
      </c>
      <c r="G541">
        <v>0.7</v>
      </c>
      <c r="H541">
        <v>2995.2</v>
      </c>
      <c r="I541">
        <v>2329.6</v>
      </c>
      <c r="J541">
        <v>665.6</v>
      </c>
      <c r="K541" t="s">
        <v>42</v>
      </c>
    </row>
    <row r="542" spans="1:11" x14ac:dyDescent="0.2">
      <c r="A542" s="1">
        <v>45568</v>
      </c>
      <c r="B542" t="s">
        <v>16</v>
      </c>
      <c r="C542" t="s">
        <v>11</v>
      </c>
      <c r="D542" t="s">
        <v>12</v>
      </c>
      <c r="E542">
        <v>3350</v>
      </c>
      <c r="F542">
        <v>1.25</v>
      </c>
      <c r="G542">
        <v>1.05</v>
      </c>
      <c r="H542">
        <v>4187.5</v>
      </c>
      <c r="I542">
        <v>3517.5</v>
      </c>
      <c r="J542">
        <v>670</v>
      </c>
      <c r="K542" t="s">
        <v>44</v>
      </c>
    </row>
    <row r="543" spans="1:11" x14ac:dyDescent="0.2">
      <c r="A543" s="1">
        <v>45540</v>
      </c>
      <c r="B543" t="s">
        <v>15</v>
      </c>
      <c r="C543" t="s">
        <v>20</v>
      </c>
      <c r="D543" t="s">
        <v>14</v>
      </c>
      <c r="E543">
        <v>5607</v>
      </c>
      <c r="F543">
        <v>0.9</v>
      </c>
      <c r="G543">
        <v>0.7</v>
      </c>
      <c r="H543">
        <v>5046.3</v>
      </c>
      <c r="I543">
        <v>3924.8999999999901</v>
      </c>
      <c r="J543">
        <v>1121.4000000000001</v>
      </c>
      <c r="K543" t="s">
        <v>43</v>
      </c>
    </row>
    <row r="544" spans="1:11" x14ac:dyDescent="0.2">
      <c r="A544" s="1">
        <v>45455</v>
      </c>
      <c r="B544" t="s">
        <v>16</v>
      </c>
      <c r="C544" t="s">
        <v>23</v>
      </c>
      <c r="D544" t="s">
        <v>18</v>
      </c>
      <c r="E544">
        <v>3006</v>
      </c>
      <c r="F544">
        <v>1.2</v>
      </c>
      <c r="G544">
        <v>1</v>
      </c>
      <c r="H544">
        <v>3607.2</v>
      </c>
      <c r="I544">
        <v>3006</v>
      </c>
      <c r="J544">
        <v>601.19999999999902</v>
      </c>
      <c r="K544" t="s">
        <v>40</v>
      </c>
    </row>
    <row r="545" spans="1:11" x14ac:dyDescent="0.2">
      <c r="A545" s="1">
        <v>45648</v>
      </c>
      <c r="B545" t="s">
        <v>24</v>
      </c>
      <c r="C545" t="s">
        <v>29</v>
      </c>
      <c r="D545" t="s">
        <v>12</v>
      </c>
      <c r="E545">
        <v>4270</v>
      </c>
      <c r="F545">
        <v>1.25</v>
      </c>
      <c r="G545">
        <v>1.05</v>
      </c>
      <c r="H545">
        <v>5337.5</v>
      </c>
      <c r="I545">
        <v>4483.5</v>
      </c>
      <c r="J545">
        <v>854</v>
      </c>
      <c r="K545" t="s">
        <v>46</v>
      </c>
    </row>
    <row r="546" spans="1:11" x14ac:dyDescent="0.2">
      <c r="A546" s="1">
        <v>45483</v>
      </c>
      <c r="B546" t="s">
        <v>31</v>
      </c>
      <c r="C546" t="s">
        <v>11</v>
      </c>
      <c r="D546" t="s">
        <v>12</v>
      </c>
      <c r="E546">
        <v>3464</v>
      </c>
      <c r="F546">
        <v>1.25</v>
      </c>
      <c r="G546">
        <v>1.05</v>
      </c>
      <c r="H546">
        <v>4330</v>
      </c>
      <c r="I546">
        <v>3637.2</v>
      </c>
      <c r="J546">
        <v>692.79999999999905</v>
      </c>
      <c r="K546" t="s">
        <v>41</v>
      </c>
    </row>
    <row r="547" spans="1:11" x14ac:dyDescent="0.2">
      <c r="A547" s="1">
        <v>45518</v>
      </c>
      <c r="B547" t="s">
        <v>26</v>
      </c>
      <c r="C547" t="s">
        <v>29</v>
      </c>
      <c r="D547" t="s">
        <v>18</v>
      </c>
      <c r="E547">
        <v>5094</v>
      </c>
      <c r="F547">
        <v>1.2</v>
      </c>
      <c r="G547">
        <v>1</v>
      </c>
      <c r="H547">
        <v>6112.8</v>
      </c>
      <c r="I547">
        <v>5094</v>
      </c>
      <c r="J547">
        <v>1018.8</v>
      </c>
      <c r="K547" t="s">
        <v>42</v>
      </c>
    </row>
    <row r="548" spans="1:11" x14ac:dyDescent="0.2">
      <c r="A548" s="1">
        <v>45468</v>
      </c>
      <c r="B548" t="s">
        <v>24</v>
      </c>
      <c r="C548" t="s">
        <v>23</v>
      </c>
      <c r="D548" t="s">
        <v>18</v>
      </c>
      <c r="E548">
        <v>1449</v>
      </c>
      <c r="F548">
        <v>1.2</v>
      </c>
      <c r="G548">
        <v>1</v>
      </c>
      <c r="H548">
        <v>1738.8</v>
      </c>
      <c r="I548">
        <v>1449</v>
      </c>
      <c r="J548">
        <v>289.79999999999899</v>
      </c>
      <c r="K548" t="s">
        <v>40</v>
      </c>
    </row>
    <row r="549" spans="1:11" x14ac:dyDescent="0.2">
      <c r="A549" s="1">
        <v>45390</v>
      </c>
      <c r="B549" t="s">
        <v>27</v>
      </c>
      <c r="C549" t="s">
        <v>11</v>
      </c>
      <c r="D549" t="s">
        <v>18</v>
      </c>
      <c r="E549">
        <v>5103</v>
      </c>
      <c r="F549">
        <v>1.2</v>
      </c>
      <c r="G549">
        <v>1</v>
      </c>
      <c r="H549">
        <v>6123.5999999999904</v>
      </c>
      <c r="I549">
        <v>5103</v>
      </c>
      <c r="J549">
        <v>1020.59999999999</v>
      </c>
      <c r="K549" t="s">
        <v>38</v>
      </c>
    </row>
    <row r="550" spans="1:11" x14ac:dyDescent="0.2">
      <c r="A550" s="1">
        <v>45327</v>
      </c>
      <c r="B550" t="s">
        <v>31</v>
      </c>
      <c r="C550" t="s">
        <v>29</v>
      </c>
      <c r="D550" t="s">
        <v>12</v>
      </c>
      <c r="E550">
        <v>5923</v>
      </c>
      <c r="F550">
        <v>1.25</v>
      </c>
      <c r="G550">
        <v>1.05</v>
      </c>
      <c r="H550">
        <v>7403.75</v>
      </c>
      <c r="I550">
        <v>6219.15</v>
      </c>
      <c r="J550">
        <v>1184.5999999999899</v>
      </c>
      <c r="K550" t="s">
        <v>36</v>
      </c>
    </row>
    <row r="551" spans="1:11" x14ac:dyDescent="0.2">
      <c r="A551" s="1">
        <v>45387</v>
      </c>
      <c r="B551" t="s">
        <v>31</v>
      </c>
      <c r="C551" t="s">
        <v>17</v>
      </c>
      <c r="D551" t="s">
        <v>12</v>
      </c>
      <c r="E551">
        <v>3350</v>
      </c>
      <c r="F551">
        <v>1.25</v>
      </c>
      <c r="G551">
        <v>1.05</v>
      </c>
      <c r="H551">
        <v>4187.5</v>
      </c>
      <c r="I551">
        <v>3517.5</v>
      </c>
      <c r="J551">
        <v>670</v>
      </c>
      <c r="K551" t="s">
        <v>38</v>
      </c>
    </row>
    <row r="552" spans="1:11" x14ac:dyDescent="0.2">
      <c r="A552" s="1">
        <v>45443</v>
      </c>
      <c r="B552" t="s">
        <v>25</v>
      </c>
      <c r="C552" t="s">
        <v>23</v>
      </c>
      <c r="D552" t="s">
        <v>12</v>
      </c>
      <c r="E552">
        <v>665</v>
      </c>
      <c r="F552">
        <v>1.25</v>
      </c>
      <c r="G552">
        <v>1.05</v>
      </c>
      <c r="H552">
        <v>831.25</v>
      </c>
      <c r="I552">
        <v>698.25</v>
      </c>
      <c r="J552">
        <v>133</v>
      </c>
      <c r="K552" t="s">
        <v>39</v>
      </c>
    </row>
    <row r="553" spans="1:11" x14ac:dyDescent="0.2">
      <c r="A553" s="1">
        <v>45442</v>
      </c>
      <c r="B553" t="s">
        <v>21</v>
      </c>
      <c r="C553" t="s">
        <v>23</v>
      </c>
      <c r="D553" t="s">
        <v>12</v>
      </c>
      <c r="E553">
        <v>3986</v>
      </c>
      <c r="F553">
        <v>1.25</v>
      </c>
      <c r="G553">
        <v>1.05</v>
      </c>
      <c r="H553">
        <v>4982.5</v>
      </c>
      <c r="I553">
        <v>4185.3</v>
      </c>
      <c r="J553">
        <v>797.19999999999902</v>
      </c>
      <c r="K553" t="s">
        <v>39</v>
      </c>
    </row>
    <row r="554" spans="1:11" x14ac:dyDescent="0.2">
      <c r="A554" s="1">
        <v>45481</v>
      </c>
      <c r="B554" t="s">
        <v>21</v>
      </c>
      <c r="C554" t="s">
        <v>23</v>
      </c>
      <c r="D554" t="s">
        <v>12</v>
      </c>
      <c r="E554">
        <v>3009</v>
      </c>
      <c r="F554">
        <v>1.25</v>
      </c>
      <c r="G554">
        <v>1.05</v>
      </c>
      <c r="H554">
        <v>3761.25</v>
      </c>
      <c r="I554">
        <v>3159.45</v>
      </c>
      <c r="J554">
        <v>601.79999999999905</v>
      </c>
      <c r="K554" t="s">
        <v>41</v>
      </c>
    </row>
    <row r="555" spans="1:11" x14ac:dyDescent="0.2">
      <c r="A555" s="1">
        <v>45515</v>
      </c>
      <c r="B555" t="s">
        <v>31</v>
      </c>
      <c r="C555" t="s">
        <v>17</v>
      </c>
      <c r="D555" t="s">
        <v>12</v>
      </c>
      <c r="E555">
        <v>1419</v>
      </c>
      <c r="F555">
        <v>1.25</v>
      </c>
      <c r="G555">
        <v>1.05</v>
      </c>
      <c r="H555">
        <v>1773.75</v>
      </c>
      <c r="I555">
        <v>1489.95</v>
      </c>
      <c r="J555">
        <v>283.79999999999899</v>
      </c>
      <c r="K555" t="s">
        <v>42</v>
      </c>
    </row>
    <row r="556" spans="1:11" x14ac:dyDescent="0.2">
      <c r="A556" s="1">
        <v>45328</v>
      </c>
      <c r="B556" t="s">
        <v>15</v>
      </c>
      <c r="C556" t="s">
        <v>17</v>
      </c>
      <c r="D556" t="s">
        <v>18</v>
      </c>
      <c r="E556">
        <v>613</v>
      </c>
      <c r="F556">
        <v>1.2</v>
      </c>
      <c r="G556">
        <v>1</v>
      </c>
      <c r="H556">
        <v>735.6</v>
      </c>
      <c r="I556">
        <v>613</v>
      </c>
      <c r="J556">
        <v>122.6</v>
      </c>
      <c r="K556" t="s">
        <v>36</v>
      </c>
    </row>
    <row r="557" spans="1:11" x14ac:dyDescent="0.2">
      <c r="A557" s="1">
        <v>45559</v>
      </c>
      <c r="B557" t="s">
        <v>16</v>
      </c>
      <c r="C557" t="s">
        <v>20</v>
      </c>
      <c r="D557" t="s">
        <v>14</v>
      </c>
      <c r="E557">
        <v>4004</v>
      </c>
      <c r="F557">
        <v>0.9</v>
      </c>
      <c r="G557">
        <v>0.7</v>
      </c>
      <c r="H557">
        <v>3603.6</v>
      </c>
      <c r="I557">
        <v>2802.7999999999902</v>
      </c>
      <c r="J557">
        <v>800.8</v>
      </c>
      <c r="K557" t="s">
        <v>43</v>
      </c>
    </row>
    <row r="558" spans="1:11" x14ac:dyDescent="0.2">
      <c r="A558" s="1">
        <v>45474</v>
      </c>
      <c r="B558" t="s">
        <v>25</v>
      </c>
      <c r="C558" t="s">
        <v>29</v>
      </c>
      <c r="D558" t="s">
        <v>12</v>
      </c>
      <c r="E558">
        <v>1491</v>
      </c>
      <c r="F558">
        <v>1.25</v>
      </c>
      <c r="G558">
        <v>1.05</v>
      </c>
      <c r="H558">
        <v>1863.75</v>
      </c>
      <c r="I558">
        <v>1565.55</v>
      </c>
      <c r="J558">
        <v>298.2</v>
      </c>
      <c r="K558" t="s">
        <v>41</v>
      </c>
    </row>
    <row r="559" spans="1:11" x14ac:dyDescent="0.2">
      <c r="A559" s="1">
        <v>45304</v>
      </c>
      <c r="B559" t="s">
        <v>26</v>
      </c>
      <c r="C559" t="s">
        <v>20</v>
      </c>
      <c r="D559" t="s">
        <v>14</v>
      </c>
      <c r="E559">
        <v>4339</v>
      </c>
      <c r="F559">
        <v>0.9</v>
      </c>
      <c r="G559">
        <v>0.7</v>
      </c>
      <c r="H559">
        <v>3905.1</v>
      </c>
      <c r="I559">
        <v>3037.2999999999902</v>
      </c>
      <c r="J559">
        <v>867.8</v>
      </c>
      <c r="K559" t="s">
        <v>35</v>
      </c>
    </row>
    <row r="560" spans="1:11" x14ac:dyDescent="0.2">
      <c r="A560" s="1">
        <v>45570</v>
      </c>
      <c r="B560" t="s">
        <v>31</v>
      </c>
      <c r="C560" t="s">
        <v>29</v>
      </c>
      <c r="D560" t="s">
        <v>12</v>
      </c>
      <c r="E560">
        <v>1758</v>
      </c>
      <c r="F560">
        <v>1.25</v>
      </c>
      <c r="G560">
        <v>1.05</v>
      </c>
      <c r="H560">
        <v>2197.5</v>
      </c>
      <c r="I560">
        <v>1845.9</v>
      </c>
      <c r="J560">
        <v>351.599999999999</v>
      </c>
      <c r="K560" t="s">
        <v>44</v>
      </c>
    </row>
    <row r="561" spans="1:11" x14ac:dyDescent="0.2">
      <c r="A561" s="1">
        <v>45508</v>
      </c>
      <c r="B561" t="s">
        <v>28</v>
      </c>
      <c r="C561" t="s">
        <v>17</v>
      </c>
      <c r="D561" t="s">
        <v>12</v>
      </c>
      <c r="E561">
        <v>3926</v>
      </c>
      <c r="F561">
        <v>1.25</v>
      </c>
      <c r="G561">
        <v>1.05</v>
      </c>
      <c r="H561">
        <v>4907.5</v>
      </c>
      <c r="I561">
        <v>4122.3</v>
      </c>
      <c r="J561">
        <v>785.19999999999902</v>
      </c>
      <c r="K561" t="s">
        <v>42</v>
      </c>
    </row>
    <row r="562" spans="1:11" x14ac:dyDescent="0.2">
      <c r="A562" s="1">
        <v>45646</v>
      </c>
      <c r="B562" t="s">
        <v>19</v>
      </c>
      <c r="C562" t="s">
        <v>17</v>
      </c>
      <c r="D562" t="s">
        <v>12</v>
      </c>
      <c r="E562">
        <v>1014</v>
      </c>
      <c r="F562">
        <v>1.25</v>
      </c>
      <c r="G562">
        <v>1.05</v>
      </c>
      <c r="H562">
        <v>1267.5</v>
      </c>
      <c r="I562">
        <v>1064.7</v>
      </c>
      <c r="J562">
        <v>202.79999999999899</v>
      </c>
      <c r="K562" t="s">
        <v>46</v>
      </c>
    </row>
    <row r="563" spans="1:11" x14ac:dyDescent="0.2">
      <c r="A563" s="1">
        <v>45652</v>
      </c>
      <c r="B563" t="s">
        <v>19</v>
      </c>
      <c r="C563" t="s">
        <v>20</v>
      </c>
      <c r="D563" t="s">
        <v>18</v>
      </c>
      <c r="E563">
        <v>5827</v>
      </c>
      <c r="F563">
        <v>1.2</v>
      </c>
      <c r="G563">
        <v>1</v>
      </c>
      <c r="H563">
        <v>6992.4</v>
      </c>
      <c r="I563">
        <v>5827</v>
      </c>
      <c r="J563">
        <v>1165.3999999999901</v>
      </c>
      <c r="K563" t="s">
        <v>46</v>
      </c>
    </row>
    <row r="564" spans="1:11" x14ac:dyDescent="0.2">
      <c r="A564" s="1">
        <v>45577</v>
      </c>
      <c r="B564" t="s">
        <v>24</v>
      </c>
      <c r="C564" t="s">
        <v>11</v>
      </c>
      <c r="D564" t="s">
        <v>14</v>
      </c>
      <c r="E564">
        <v>5304</v>
      </c>
      <c r="F564">
        <v>0.9</v>
      </c>
      <c r="G564">
        <v>0.7</v>
      </c>
      <c r="H564">
        <v>4773.6000000000004</v>
      </c>
      <c r="I564">
        <v>3712.7999999999902</v>
      </c>
      <c r="J564">
        <v>1060.8</v>
      </c>
      <c r="K564" t="s">
        <v>44</v>
      </c>
    </row>
    <row r="565" spans="1:11" x14ac:dyDescent="0.2">
      <c r="A565" s="1">
        <v>45564</v>
      </c>
      <c r="B565" t="s">
        <v>27</v>
      </c>
      <c r="C565" t="s">
        <v>20</v>
      </c>
      <c r="D565" t="s">
        <v>18</v>
      </c>
      <c r="E565">
        <v>3696</v>
      </c>
      <c r="F565">
        <v>1.2</v>
      </c>
      <c r="G565">
        <v>1</v>
      </c>
      <c r="H565">
        <v>4435.2</v>
      </c>
      <c r="I565">
        <v>3696</v>
      </c>
      <c r="J565">
        <v>739.19999999999902</v>
      </c>
      <c r="K565" t="s">
        <v>43</v>
      </c>
    </row>
    <row r="566" spans="1:11" x14ac:dyDescent="0.2">
      <c r="A566" s="1">
        <v>45353</v>
      </c>
      <c r="B566" t="s">
        <v>30</v>
      </c>
      <c r="C566" t="s">
        <v>29</v>
      </c>
      <c r="D566" t="s">
        <v>12</v>
      </c>
      <c r="E566">
        <v>4934</v>
      </c>
      <c r="F566">
        <v>1.25</v>
      </c>
      <c r="G566">
        <v>1.05</v>
      </c>
      <c r="H566">
        <v>6167.5</v>
      </c>
      <c r="I566">
        <v>5180.7</v>
      </c>
      <c r="J566">
        <v>986.8</v>
      </c>
      <c r="K566" t="s">
        <v>37</v>
      </c>
    </row>
    <row r="567" spans="1:11" x14ac:dyDescent="0.2">
      <c r="A567" s="1">
        <v>45375</v>
      </c>
      <c r="B567" t="s">
        <v>30</v>
      </c>
      <c r="C567" t="s">
        <v>20</v>
      </c>
      <c r="D567" t="s">
        <v>18</v>
      </c>
      <c r="E567">
        <v>3084</v>
      </c>
      <c r="F567">
        <v>1.2</v>
      </c>
      <c r="G567">
        <v>1</v>
      </c>
      <c r="H567">
        <v>3700.7999999999902</v>
      </c>
      <c r="I567">
        <v>3084</v>
      </c>
      <c r="J567">
        <v>616.79999999999905</v>
      </c>
      <c r="K567" t="s">
        <v>37</v>
      </c>
    </row>
    <row r="568" spans="1:11" x14ac:dyDescent="0.2">
      <c r="A568" s="1">
        <v>45508</v>
      </c>
      <c r="B568" t="s">
        <v>19</v>
      </c>
      <c r="C568" t="s">
        <v>23</v>
      </c>
      <c r="D568" t="s">
        <v>12</v>
      </c>
      <c r="E568">
        <v>567</v>
      </c>
      <c r="F568">
        <v>1.25</v>
      </c>
      <c r="G568">
        <v>1.05</v>
      </c>
      <c r="H568">
        <v>708.75</v>
      </c>
      <c r="I568">
        <v>595.35</v>
      </c>
      <c r="J568">
        <v>113.399999999999</v>
      </c>
      <c r="K568" t="s">
        <v>42</v>
      </c>
    </row>
    <row r="569" spans="1:11" x14ac:dyDescent="0.2">
      <c r="A569" s="1">
        <v>45633</v>
      </c>
      <c r="B569" t="s">
        <v>32</v>
      </c>
      <c r="C569" t="s">
        <v>29</v>
      </c>
      <c r="D569" t="s">
        <v>14</v>
      </c>
      <c r="E569">
        <v>2096</v>
      </c>
      <c r="F569">
        <v>0.9</v>
      </c>
      <c r="G569">
        <v>0.7</v>
      </c>
      <c r="H569">
        <v>1886.4</v>
      </c>
      <c r="I569">
        <v>1467.19999999999</v>
      </c>
      <c r="J569">
        <v>419.2</v>
      </c>
      <c r="K569" t="s">
        <v>46</v>
      </c>
    </row>
    <row r="570" spans="1:11" x14ac:dyDescent="0.2">
      <c r="A570" s="1">
        <v>45478</v>
      </c>
      <c r="B570" t="s">
        <v>22</v>
      </c>
      <c r="C570" t="s">
        <v>29</v>
      </c>
      <c r="D570" t="s">
        <v>18</v>
      </c>
      <c r="E570">
        <v>4978</v>
      </c>
      <c r="F570">
        <v>1.2</v>
      </c>
      <c r="G570">
        <v>1</v>
      </c>
      <c r="H570">
        <v>5973.5999999999904</v>
      </c>
      <c r="I570">
        <v>4978</v>
      </c>
      <c r="J570">
        <v>995.599999999999</v>
      </c>
      <c r="K570" t="s">
        <v>41</v>
      </c>
    </row>
    <row r="571" spans="1:11" x14ac:dyDescent="0.2">
      <c r="A571" s="1">
        <v>45310</v>
      </c>
      <c r="B571" t="s">
        <v>24</v>
      </c>
      <c r="C571" t="s">
        <v>11</v>
      </c>
      <c r="D571" t="s">
        <v>12</v>
      </c>
      <c r="E571">
        <v>518</v>
      </c>
      <c r="F571">
        <v>1.25</v>
      </c>
      <c r="G571">
        <v>1.05</v>
      </c>
      <c r="H571">
        <v>647.5</v>
      </c>
      <c r="I571">
        <v>543.9</v>
      </c>
      <c r="J571">
        <v>103.6</v>
      </c>
      <c r="K571" t="s">
        <v>35</v>
      </c>
    </row>
    <row r="572" spans="1:11" x14ac:dyDescent="0.2">
      <c r="A572" s="1">
        <v>45468</v>
      </c>
      <c r="B572" t="s">
        <v>30</v>
      </c>
      <c r="C572" t="s">
        <v>17</v>
      </c>
      <c r="D572" t="s">
        <v>18</v>
      </c>
      <c r="E572">
        <v>3230</v>
      </c>
      <c r="F572">
        <v>1.2</v>
      </c>
      <c r="G572">
        <v>1</v>
      </c>
      <c r="H572">
        <v>3876</v>
      </c>
      <c r="I572">
        <v>3230</v>
      </c>
      <c r="J572">
        <v>646</v>
      </c>
      <c r="K572" t="s">
        <v>40</v>
      </c>
    </row>
    <row r="573" spans="1:11" x14ac:dyDescent="0.2">
      <c r="A573" s="1">
        <v>45391</v>
      </c>
      <c r="B573" t="s">
        <v>19</v>
      </c>
      <c r="C573" t="s">
        <v>29</v>
      </c>
      <c r="D573" t="s">
        <v>18</v>
      </c>
      <c r="E573">
        <v>4021</v>
      </c>
      <c r="F573">
        <v>1.2</v>
      </c>
      <c r="G573">
        <v>1</v>
      </c>
      <c r="H573">
        <v>4825.2</v>
      </c>
      <c r="I573">
        <v>4021</v>
      </c>
      <c r="J573">
        <v>804.19999999999902</v>
      </c>
      <c r="K573" t="s">
        <v>38</v>
      </c>
    </row>
    <row r="574" spans="1:11" x14ac:dyDescent="0.2">
      <c r="A574" s="1">
        <v>45524</v>
      </c>
      <c r="B574" t="s">
        <v>27</v>
      </c>
      <c r="C574" t="s">
        <v>17</v>
      </c>
      <c r="D574" t="s">
        <v>12</v>
      </c>
      <c r="E574">
        <v>1072</v>
      </c>
      <c r="F574">
        <v>1.25</v>
      </c>
      <c r="G574">
        <v>1.05</v>
      </c>
      <c r="H574">
        <v>1340</v>
      </c>
      <c r="I574">
        <v>1125.5999999999999</v>
      </c>
      <c r="J574">
        <v>214.39999999999901</v>
      </c>
      <c r="K574" t="s">
        <v>42</v>
      </c>
    </row>
    <row r="575" spans="1:11" x14ac:dyDescent="0.2">
      <c r="A575" s="1">
        <v>45367</v>
      </c>
      <c r="B575" t="s">
        <v>30</v>
      </c>
      <c r="C575" t="s">
        <v>20</v>
      </c>
      <c r="D575" t="s">
        <v>18</v>
      </c>
      <c r="E575">
        <v>5895</v>
      </c>
      <c r="F575">
        <v>1.2</v>
      </c>
      <c r="G575">
        <v>1</v>
      </c>
      <c r="H575">
        <v>7074</v>
      </c>
      <c r="I575">
        <v>5895</v>
      </c>
      <c r="J575">
        <v>1179</v>
      </c>
      <c r="K575" t="s">
        <v>37</v>
      </c>
    </row>
    <row r="576" spans="1:11" x14ac:dyDescent="0.2">
      <c r="A576" s="1">
        <v>45556</v>
      </c>
      <c r="B576" t="s">
        <v>16</v>
      </c>
      <c r="C576" t="s">
        <v>23</v>
      </c>
      <c r="D576" t="s">
        <v>12</v>
      </c>
      <c r="E576">
        <v>2758</v>
      </c>
      <c r="F576">
        <v>1.25</v>
      </c>
      <c r="G576">
        <v>1.05</v>
      </c>
      <c r="H576">
        <v>3447.5</v>
      </c>
      <c r="I576">
        <v>2895.9</v>
      </c>
      <c r="J576">
        <v>551.599999999999</v>
      </c>
      <c r="K576" t="s">
        <v>43</v>
      </c>
    </row>
    <row r="577" spans="1:11" x14ac:dyDescent="0.2">
      <c r="A577" s="1">
        <v>45575</v>
      </c>
      <c r="B577" t="s">
        <v>16</v>
      </c>
      <c r="C577" t="s">
        <v>11</v>
      </c>
      <c r="D577" t="s">
        <v>18</v>
      </c>
      <c r="E577">
        <v>3402</v>
      </c>
      <c r="F577">
        <v>1.2</v>
      </c>
      <c r="G577">
        <v>1</v>
      </c>
      <c r="H577">
        <v>4082.3999999999901</v>
      </c>
      <c r="I577">
        <v>3402</v>
      </c>
      <c r="J577">
        <v>680.39999999999895</v>
      </c>
      <c r="K577" t="s">
        <v>44</v>
      </c>
    </row>
    <row r="578" spans="1:11" x14ac:dyDescent="0.2">
      <c r="A578" s="1">
        <v>45497</v>
      </c>
      <c r="B578" t="s">
        <v>21</v>
      </c>
      <c r="C578" t="s">
        <v>17</v>
      </c>
      <c r="D578" t="s">
        <v>18</v>
      </c>
      <c r="E578">
        <v>1150</v>
      </c>
      <c r="F578">
        <v>1.2</v>
      </c>
      <c r="G578">
        <v>1</v>
      </c>
      <c r="H578">
        <v>1380</v>
      </c>
      <c r="I578">
        <v>1150</v>
      </c>
      <c r="J578">
        <v>230</v>
      </c>
      <c r="K578" t="s">
        <v>41</v>
      </c>
    </row>
    <row r="579" spans="1:11" x14ac:dyDescent="0.2">
      <c r="A579" s="1">
        <v>45514</v>
      </c>
      <c r="B579" t="s">
        <v>15</v>
      </c>
      <c r="C579" t="s">
        <v>29</v>
      </c>
      <c r="D579" t="s">
        <v>18</v>
      </c>
      <c r="E579">
        <v>5589</v>
      </c>
      <c r="F579">
        <v>1.2</v>
      </c>
      <c r="G579">
        <v>1</v>
      </c>
      <c r="H579">
        <v>6706.8</v>
      </c>
      <c r="I579">
        <v>5589</v>
      </c>
      <c r="J579">
        <v>1117.8</v>
      </c>
      <c r="K579" t="s">
        <v>42</v>
      </c>
    </row>
    <row r="580" spans="1:11" x14ac:dyDescent="0.2">
      <c r="A580" s="1">
        <v>45343</v>
      </c>
      <c r="B580" t="s">
        <v>21</v>
      </c>
      <c r="C580" t="s">
        <v>17</v>
      </c>
      <c r="D580" t="s">
        <v>18</v>
      </c>
      <c r="E580">
        <v>3087</v>
      </c>
      <c r="F580">
        <v>1.2</v>
      </c>
      <c r="G580">
        <v>1</v>
      </c>
      <c r="H580">
        <v>3704.3999999999901</v>
      </c>
      <c r="I580">
        <v>3087</v>
      </c>
      <c r="J580">
        <v>617.39999999999895</v>
      </c>
      <c r="K580" t="s">
        <v>36</v>
      </c>
    </row>
    <row r="581" spans="1:11" x14ac:dyDescent="0.2">
      <c r="A581" s="1">
        <v>45630</v>
      </c>
      <c r="B581" t="s">
        <v>26</v>
      </c>
      <c r="C581" t="s">
        <v>29</v>
      </c>
      <c r="D581" t="s">
        <v>18</v>
      </c>
      <c r="E581">
        <v>3762</v>
      </c>
      <c r="F581">
        <v>1.2</v>
      </c>
      <c r="G581">
        <v>1</v>
      </c>
      <c r="H581">
        <v>4514.3999999999996</v>
      </c>
      <c r="I581">
        <v>3762</v>
      </c>
      <c r="J581">
        <v>752.39999999999895</v>
      </c>
      <c r="K581" t="s">
        <v>46</v>
      </c>
    </row>
    <row r="582" spans="1:11" x14ac:dyDescent="0.2">
      <c r="A582" s="1">
        <v>45435</v>
      </c>
      <c r="B582" t="s">
        <v>31</v>
      </c>
      <c r="C582" t="s">
        <v>17</v>
      </c>
      <c r="D582" t="s">
        <v>12</v>
      </c>
      <c r="E582">
        <v>1838</v>
      </c>
      <c r="F582">
        <v>1.25</v>
      </c>
      <c r="G582">
        <v>1.05</v>
      </c>
      <c r="H582">
        <v>2297.5</v>
      </c>
      <c r="I582">
        <v>1929.9</v>
      </c>
      <c r="J582">
        <v>367.599999999999</v>
      </c>
      <c r="K582" t="s">
        <v>39</v>
      </c>
    </row>
    <row r="583" spans="1:11" x14ac:dyDescent="0.2">
      <c r="A583" s="1">
        <v>45360</v>
      </c>
      <c r="B583" t="s">
        <v>28</v>
      </c>
      <c r="C583" t="s">
        <v>29</v>
      </c>
      <c r="D583" t="s">
        <v>18</v>
      </c>
      <c r="E583">
        <v>5496</v>
      </c>
      <c r="F583">
        <v>1.2</v>
      </c>
      <c r="G583">
        <v>1</v>
      </c>
      <c r="H583">
        <v>6595.2</v>
      </c>
      <c r="I583">
        <v>5496</v>
      </c>
      <c r="J583">
        <v>1099.19999999999</v>
      </c>
      <c r="K583" t="s">
        <v>37</v>
      </c>
    </row>
    <row r="584" spans="1:11" x14ac:dyDescent="0.2">
      <c r="A584" s="1">
        <v>45390</v>
      </c>
      <c r="B584" t="s">
        <v>21</v>
      </c>
      <c r="C584" t="s">
        <v>20</v>
      </c>
      <c r="D584" t="s">
        <v>12</v>
      </c>
      <c r="E584">
        <v>4134</v>
      </c>
      <c r="F584">
        <v>1.25</v>
      </c>
      <c r="G584">
        <v>1.05</v>
      </c>
      <c r="H584">
        <v>5167.5</v>
      </c>
      <c r="I584">
        <v>4340.7</v>
      </c>
      <c r="J584">
        <v>826.8</v>
      </c>
      <c r="K584" t="s">
        <v>38</v>
      </c>
    </row>
    <row r="585" spans="1:11" x14ac:dyDescent="0.2">
      <c r="A585" s="1">
        <v>45316</v>
      </c>
      <c r="B585" t="s">
        <v>10</v>
      </c>
      <c r="C585" t="s">
        <v>29</v>
      </c>
      <c r="D585" t="s">
        <v>12</v>
      </c>
      <c r="E585">
        <v>3327</v>
      </c>
      <c r="F585">
        <v>1.25</v>
      </c>
      <c r="G585">
        <v>1.05</v>
      </c>
      <c r="H585">
        <v>4158.75</v>
      </c>
      <c r="I585">
        <v>3493.35</v>
      </c>
      <c r="J585">
        <v>665.39999999999895</v>
      </c>
      <c r="K585" t="s">
        <v>35</v>
      </c>
    </row>
    <row r="586" spans="1:11" x14ac:dyDescent="0.2">
      <c r="A586" s="1">
        <v>45344</v>
      </c>
      <c r="B586" t="s">
        <v>30</v>
      </c>
      <c r="C586" t="s">
        <v>29</v>
      </c>
      <c r="D586" t="s">
        <v>12</v>
      </c>
      <c r="E586">
        <v>5732</v>
      </c>
      <c r="F586">
        <v>1.25</v>
      </c>
      <c r="G586">
        <v>1.05</v>
      </c>
      <c r="H586">
        <v>7165</v>
      </c>
      <c r="I586">
        <v>6018.6</v>
      </c>
      <c r="J586">
        <v>1146.3999999999901</v>
      </c>
      <c r="K586" t="s">
        <v>36</v>
      </c>
    </row>
    <row r="587" spans="1:11" x14ac:dyDescent="0.2">
      <c r="A587" s="1">
        <v>45442</v>
      </c>
      <c r="B587" t="s">
        <v>32</v>
      </c>
      <c r="C587" t="s">
        <v>23</v>
      </c>
      <c r="D587" t="s">
        <v>12</v>
      </c>
      <c r="E587">
        <v>2717</v>
      </c>
      <c r="F587">
        <v>1.25</v>
      </c>
      <c r="G587">
        <v>1.05</v>
      </c>
      <c r="H587">
        <v>3396.25</v>
      </c>
      <c r="I587">
        <v>2852.85</v>
      </c>
      <c r="J587">
        <v>543.4</v>
      </c>
      <c r="K587" t="s">
        <v>39</v>
      </c>
    </row>
    <row r="588" spans="1:11" x14ac:dyDescent="0.2">
      <c r="A588" s="1">
        <v>45435</v>
      </c>
      <c r="B588" t="s">
        <v>25</v>
      </c>
      <c r="C588" t="s">
        <v>29</v>
      </c>
      <c r="D588" t="s">
        <v>18</v>
      </c>
      <c r="E588">
        <v>4039</v>
      </c>
      <c r="F588">
        <v>1.2</v>
      </c>
      <c r="G588">
        <v>1</v>
      </c>
      <c r="H588">
        <v>4846.8</v>
      </c>
      <c r="I588">
        <v>4039</v>
      </c>
      <c r="J588">
        <v>807.8</v>
      </c>
      <c r="K588" t="s">
        <v>39</v>
      </c>
    </row>
    <row r="589" spans="1:11" x14ac:dyDescent="0.2">
      <c r="A589" s="1">
        <v>45348</v>
      </c>
      <c r="B589" t="s">
        <v>19</v>
      </c>
      <c r="C589" t="s">
        <v>23</v>
      </c>
      <c r="D589" t="s">
        <v>12</v>
      </c>
      <c r="E589">
        <v>1537</v>
      </c>
      <c r="F589">
        <v>1.25</v>
      </c>
      <c r="G589">
        <v>1.05</v>
      </c>
      <c r="H589">
        <v>1921.25</v>
      </c>
      <c r="I589">
        <v>1613.85</v>
      </c>
      <c r="J589">
        <v>307.39999999999901</v>
      </c>
      <c r="K589" t="s">
        <v>36</v>
      </c>
    </row>
    <row r="590" spans="1:11" x14ac:dyDescent="0.2">
      <c r="A590" s="1">
        <v>45330</v>
      </c>
      <c r="B590" t="s">
        <v>25</v>
      </c>
      <c r="C590" t="s">
        <v>11</v>
      </c>
      <c r="D590" t="s">
        <v>18</v>
      </c>
      <c r="E590">
        <v>4883</v>
      </c>
      <c r="F590">
        <v>1.2</v>
      </c>
      <c r="G590">
        <v>1</v>
      </c>
      <c r="H590">
        <v>5859.5999999999904</v>
      </c>
      <c r="I590">
        <v>4883</v>
      </c>
      <c r="J590">
        <v>976.599999999999</v>
      </c>
      <c r="K590" t="s">
        <v>36</v>
      </c>
    </row>
    <row r="591" spans="1:11" x14ac:dyDescent="0.2">
      <c r="A591" s="1">
        <v>45400</v>
      </c>
      <c r="B591" t="s">
        <v>10</v>
      </c>
      <c r="C591" t="s">
        <v>23</v>
      </c>
      <c r="D591" t="s">
        <v>12</v>
      </c>
      <c r="E591">
        <v>4478</v>
      </c>
      <c r="F591">
        <v>1.25</v>
      </c>
      <c r="G591">
        <v>1.05</v>
      </c>
      <c r="H591">
        <v>5597.5</v>
      </c>
      <c r="I591">
        <v>4701.8999999999996</v>
      </c>
      <c r="J591">
        <v>895.599999999999</v>
      </c>
      <c r="K591" t="s">
        <v>38</v>
      </c>
    </row>
    <row r="592" spans="1:11" x14ac:dyDescent="0.2">
      <c r="A592" s="1">
        <v>45472</v>
      </c>
      <c r="B592" t="s">
        <v>27</v>
      </c>
      <c r="C592" t="s">
        <v>20</v>
      </c>
      <c r="D592" t="s">
        <v>12</v>
      </c>
      <c r="E592">
        <v>3461</v>
      </c>
      <c r="F592">
        <v>1.25</v>
      </c>
      <c r="G592">
        <v>1.05</v>
      </c>
      <c r="H592">
        <v>4326.25</v>
      </c>
      <c r="I592">
        <v>3634.05</v>
      </c>
      <c r="J592">
        <v>692.19999999999902</v>
      </c>
      <c r="K592" t="s">
        <v>40</v>
      </c>
    </row>
    <row r="593" spans="1:11" x14ac:dyDescent="0.2">
      <c r="A593" s="1">
        <v>45333</v>
      </c>
      <c r="B593" t="s">
        <v>21</v>
      </c>
      <c r="C593" t="s">
        <v>23</v>
      </c>
      <c r="D593" t="s">
        <v>18</v>
      </c>
      <c r="E593">
        <v>3726</v>
      </c>
      <c r="F593">
        <v>1.2</v>
      </c>
      <c r="G593">
        <v>1</v>
      </c>
      <c r="H593">
        <v>4471.2</v>
      </c>
      <c r="I593">
        <v>3726</v>
      </c>
      <c r="J593">
        <v>745.19999999999902</v>
      </c>
      <c r="K593" t="s">
        <v>36</v>
      </c>
    </row>
    <row r="594" spans="1:11" x14ac:dyDescent="0.2">
      <c r="A594" s="1">
        <v>45477</v>
      </c>
      <c r="B594" t="s">
        <v>28</v>
      </c>
      <c r="C594" t="s">
        <v>11</v>
      </c>
      <c r="D594" t="s">
        <v>12</v>
      </c>
      <c r="E594">
        <v>1598</v>
      </c>
      <c r="F594">
        <v>1.25</v>
      </c>
      <c r="G594">
        <v>1.05</v>
      </c>
      <c r="H594">
        <v>1997.5</v>
      </c>
      <c r="I594">
        <v>1677.9</v>
      </c>
      <c r="J594">
        <v>319.599999999999</v>
      </c>
      <c r="K594" t="s">
        <v>41</v>
      </c>
    </row>
    <row r="595" spans="1:11" x14ac:dyDescent="0.2">
      <c r="A595" s="1">
        <v>45514</v>
      </c>
      <c r="B595" t="s">
        <v>27</v>
      </c>
      <c r="C595" t="s">
        <v>20</v>
      </c>
      <c r="D595" t="s">
        <v>12</v>
      </c>
      <c r="E595">
        <v>2824</v>
      </c>
      <c r="F595">
        <v>1.25</v>
      </c>
      <c r="G595">
        <v>1.05</v>
      </c>
      <c r="H595">
        <v>3530</v>
      </c>
      <c r="I595">
        <v>2965.2</v>
      </c>
      <c r="J595">
        <v>564.79999999999905</v>
      </c>
      <c r="K595" t="s">
        <v>42</v>
      </c>
    </row>
    <row r="596" spans="1:11" x14ac:dyDescent="0.2">
      <c r="A596" s="1">
        <v>45413</v>
      </c>
      <c r="B596" t="s">
        <v>22</v>
      </c>
      <c r="C596" t="s">
        <v>17</v>
      </c>
      <c r="D596" t="s">
        <v>18</v>
      </c>
      <c r="E596">
        <v>1439</v>
      </c>
      <c r="F596">
        <v>1.2</v>
      </c>
      <c r="G596">
        <v>1</v>
      </c>
      <c r="H596">
        <v>1726.8</v>
      </c>
      <c r="I596">
        <v>1439</v>
      </c>
      <c r="J596">
        <v>287.79999999999899</v>
      </c>
      <c r="K596" t="s">
        <v>39</v>
      </c>
    </row>
    <row r="597" spans="1:11" x14ac:dyDescent="0.2">
      <c r="A597" s="1">
        <v>45424</v>
      </c>
      <c r="B597" t="s">
        <v>22</v>
      </c>
      <c r="C597" t="s">
        <v>17</v>
      </c>
      <c r="D597" t="s">
        <v>12</v>
      </c>
      <c r="E597">
        <v>4216</v>
      </c>
      <c r="F597">
        <v>1.25</v>
      </c>
      <c r="G597">
        <v>1.05</v>
      </c>
      <c r="H597">
        <v>5270</v>
      </c>
      <c r="I597">
        <v>4426.8</v>
      </c>
      <c r="J597">
        <v>843.19999999999902</v>
      </c>
      <c r="K597" t="s">
        <v>39</v>
      </c>
    </row>
    <row r="598" spans="1:11" x14ac:dyDescent="0.2">
      <c r="A598" s="1">
        <v>45454</v>
      </c>
      <c r="B598" t="s">
        <v>25</v>
      </c>
      <c r="C598" t="s">
        <v>23</v>
      </c>
      <c r="D598" t="s">
        <v>18</v>
      </c>
      <c r="E598">
        <v>3914</v>
      </c>
      <c r="F598">
        <v>1.2</v>
      </c>
      <c r="G598">
        <v>1</v>
      </c>
      <c r="H598">
        <v>4696.8</v>
      </c>
      <c r="I598">
        <v>3914</v>
      </c>
      <c r="J598">
        <v>782.8</v>
      </c>
      <c r="K598" t="s">
        <v>40</v>
      </c>
    </row>
    <row r="599" spans="1:11" x14ac:dyDescent="0.2">
      <c r="A599" s="1">
        <v>45506</v>
      </c>
      <c r="B599" t="s">
        <v>31</v>
      </c>
      <c r="C599" t="s">
        <v>23</v>
      </c>
      <c r="D599" t="s">
        <v>12</v>
      </c>
      <c r="E599">
        <v>1948</v>
      </c>
      <c r="F599">
        <v>1.25</v>
      </c>
      <c r="G599">
        <v>1.05</v>
      </c>
      <c r="H599">
        <v>2435</v>
      </c>
      <c r="I599">
        <v>2045.4</v>
      </c>
      <c r="J599">
        <v>389.599999999999</v>
      </c>
      <c r="K599" t="s">
        <v>42</v>
      </c>
    </row>
    <row r="600" spans="1:11" x14ac:dyDescent="0.2">
      <c r="A600" s="1">
        <v>45512</v>
      </c>
      <c r="B600" t="s">
        <v>24</v>
      </c>
      <c r="C600" t="s">
        <v>11</v>
      </c>
      <c r="D600" t="s">
        <v>12</v>
      </c>
      <c r="E600">
        <v>1070</v>
      </c>
      <c r="F600">
        <v>1.25</v>
      </c>
      <c r="G600">
        <v>1.05</v>
      </c>
      <c r="H600">
        <v>1337.5</v>
      </c>
      <c r="I600">
        <v>1123.5</v>
      </c>
      <c r="J600">
        <v>214</v>
      </c>
      <c r="K600" t="s">
        <v>42</v>
      </c>
    </row>
    <row r="601" spans="1:11" x14ac:dyDescent="0.2">
      <c r="A601" s="1">
        <v>45526</v>
      </c>
      <c r="B601" t="s">
        <v>31</v>
      </c>
      <c r="C601" t="s">
        <v>11</v>
      </c>
      <c r="D601" t="s">
        <v>18</v>
      </c>
      <c r="E601">
        <v>3404</v>
      </c>
      <c r="F601">
        <v>1.2</v>
      </c>
      <c r="G601">
        <v>1</v>
      </c>
      <c r="H601">
        <v>4084.7999999999902</v>
      </c>
      <c r="I601">
        <v>3404</v>
      </c>
      <c r="J601">
        <v>680.79999999999905</v>
      </c>
      <c r="K601" t="s">
        <v>42</v>
      </c>
    </row>
    <row r="602" spans="1:11" x14ac:dyDescent="0.2">
      <c r="A602" s="1">
        <v>45622</v>
      </c>
      <c r="B602" t="s">
        <v>30</v>
      </c>
      <c r="C602" t="s">
        <v>29</v>
      </c>
      <c r="D602" t="s">
        <v>12</v>
      </c>
      <c r="E602">
        <v>5596</v>
      </c>
      <c r="F602">
        <v>1.25</v>
      </c>
      <c r="G602">
        <v>1.05</v>
      </c>
      <c r="H602">
        <v>6995</v>
      </c>
      <c r="I602">
        <v>5875.8</v>
      </c>
      <c r="J602">
        <v>1119.19999999999</v>
      </c>
      <c r="K602" t="s">
        <v>45</v>
      </c>
    </row>
    <row r="603" spans="1:11" x14ac:dyDescent="0.2">
      <c r="A603" s="1">
        <v>45437</v>
      </c>
      <c r="B603" t="s">
        <v>10</v>
      </c>
      <c r="C603" t="s">
        <v>11</v>
      </c>
      <c r="D603" t="s">
        <v>12</v>
      </c>
      <c r="E603">
        <v>5801</v>
      </c>
      <c r="F603">
        <v>1.25</v>
      </c>
      <c r="G603">
        <v>1.05</v>
      </c>
      <c r="H603">
        <v>7251.25</v>
      </c>
      <c r="I603">
        <v>6091.05</v>
      </c>
      <c r="J603">
        <v>1160.19999999999</v>
      </c>
      <c r="K603" t="s">
        <v>39</v>
      </c>
    </row>
    <row r="604" spans="1:11" x14ac:dyDescent="0.2">
      <c r="A604" s="1">
        <v>45530</v>
      </c>
      <c r="B604" t="s">
        <v>16</v>
      </c>
      <c r="C604" t="s">
        <v>29</v>
      </c>
      <c r="D604" t="s">
        <v>12</v>
      </c>
      <c r="E604">
        <v>3005</v>
      </c>
      <c r="F604">
        <v>1.25</v>
      </c>
      <c r="G604">
        <v>1.05</v>
      </c>
      <c r="H604">
        <v>3756.25</v>
      </c>
      <c r="I604">
        <v>3155.25</v>
      </c>
      <c r="J604">
        <v>601</v>
      </c>
      <c r="K604" t="s">
        <v>42</v>
      </c>
    </row>
    <row r="605" spans="1:11" x14ac:dyDescent="0.2">
      <c r="A605" s="1">
        <v>45367</v>
      </c>
      <c r="B605" t="s">
        <v>26</v>
      </c>
      <c r="C605" t="s">
        <v>20</v>
      </c>
      <c r="D605" t="s">
        <v>12</v>
      </c>
      <c r="E605">
        <v>1417</v>
      </c>
      <c r="F605">
        <v>1.25</v>
      </c>
      <c r="G605">
        <v>1.05</v>
      </c>
      <c r="H605">
        <v>1771.25</v>
      </c>
      <c r="I605">
        <v>1487.85</v>
      </c>
      <c r="J605">
        <v>283.39999999999901</v>
      </c>
      <c r="K605" t="s">
        <v>37</v>
      </c>
    </row>
    <row r="606" spans="1:11" x14ac:dyDescent="0.2">
      <c r="A606" s="1">
        <v>45300</v>
      </c>
      <c r="B606" t="s">
        <v>31</v>
      </c>
      <c r="C606" t="s">
        <v>23</v>
      </c>
      <c r="D606" t="s">
        <v>18</v>
      </c>
      <c r="E606">
        <v>2374</v>
      </c>
      <c r="F606">
        <v>1.2</v>
      </c>
      <c r="G606">
        <v>1</v>
      </c>
      <c r="H606">
        <v>2848.7999999999902</v>
      </c>
      <c r="I606">
        <v>2374</v>
      </c>
      <c r="J606">
        <v>474.79999999999899</v>
      </c>
      <c r="K606" t="s">
        <v>35</v>
      </c>
    </row>
    <row r="607" spans="1:11" x14ac:dyDescent="0.2">
      <c r="A607" s="1">
        <v>45365</v>
      </c>
      <c r="B607" t="s">
        <v>15</v>
      </c>
      <c r="C607" t="s">
        <v>20</v>
      </c>
      <c r="D607" t="s">
        <v>12</v>
      </c>
      <c r="E607">
        <v>5428</v>
      </c>
      <c r="F607">
        <v>1.25</v>
      </c>
      <c r="G607">
        <v>1.05</v>
      </c>
      <c r="H607">
        <v>6785</v>
      </c>
      <c r="I607">
        <v>5699.4</v>
      </c>
      <c r="J607">
        <v>1085.5999999999899</v>
      </c>
      <c r="K607" t="s">
        <v>37</v>
      </c>
    </row>
    <row r="608" spans="1:11" x14ac:dyDescent="0.2">
      <c r="A608" s="1">
        <v>45544</v>
      </c>
      <c r="B608" t="s">
        <v>26</v>
      </c>
      <c r="C608" t="s">
        <v>11</v>
      </c>
      <c r="D608" t="s">
        <v>18</v>
      </c>
      <c r="E608">
        <v>2178</v>
      </c>
      <c r="F608">
        <v>1.2</v>
      </c>
      <c r="G608">
        <v>1</v>
      </c>
      <c r="H608">
        <v>2613.6</v>
      </c>
      <c r="I608">
        <v>2178</v>
      </c>
      <c r="J608">
        <v>435.599999999999</v>
      </c>
      <c r="K608" t="s">
        <v>43</v>
      </c>
    </row>
    <row r="609" spans="1:11" x14ac:dyDescent="0.2">
      <c r="A609" s="1">
        <v>45521</v>
      </c>
      <c r="B609" t="s">
        <v>10</v>
      </c>
      <c r="C609" t="s">
        <v>20</v>
      </c>
      <c r="D609" t="s">
        <v>14</v>
      </c>
      <c r="E609">
        <v>1115</v>
      </c>
      <c r="F609">
        <v>0.9</v>
      </c>
      <c r="G609">
        <v>0.7</v>
      </c>
      <c r="H609">
        <v>1003.5</v>
      </c>
      <c r="I609">
        <v>780.5</v>
      </c>
      <c r="J609">
        <v>223</v>
      </c>
      <c r="K609" t="s">
        <v>42</v>
      </c>
    </row>
    <row r="610" spans="1:11" x14ac:dyDescent="0.2">
      <c r="A610" s="1">
        <v>45298</v>
      </c>
      <c r="B610" t="s">
        <v>26</v>
      </c>
      <c r="C610" t="s">
        <v>20</v>
      </c>
      <c r="D610" t="s">
        <v>12</v>
      </c>
      <c r="E610">
        <v>5001</v>
      </c>
      <c r="F610">
        <v>1.25</v>
      </c>
      <c r="G610">
        <v>1.05</v>
      </c>
      <c r="H610">
        <v>6251.25</v>
      </c>
      <c r="I610">
        <v>5251.05</v>
      </c>
      <c r="J610">
        <v>1000.19999999999</v>
      </c>
      <c r="K610" t="s">
        <v>35</v>
      </c>
    </row>
    <row r="611" spans="1:11" x14ac:dyDescent="0.2">
      <c r="A611" s="1">
        <v>45465</v>
      </c>
      <c r="B611" t="s">
        <v>28</v>
      </c>
      <c r="C611" t="s">
        <v>20</v>
      </c>
      <c r="D611" t="s">
        <v>14</v>
      </c>
      <c r="E611">
        <v>2249</v>
      </c>
      <c r="F611">
        <v>0.9</v>
      </c>
      <c r="G611">
        <v>0.7</v>
      </c>
      <c r="H611">
        <v>2024.1</v>
      </c>
      <c r="I611">
        <v>1574.3</v>
      </c>
      <c r="J611">
        <v>449.8</v>
      </c>
      <c r="K611" t="s">
        <v>40</v>
      </c>
    </row>
    <row r="612" spans="1:11" x14ac:dyDescent="0.2">
      <c r="A612" s="1">
        <v>45432</v>
      </c>
      <c r="B612" t="s">
        <v>21</v>
      </c>
      <c r="C612" t="s">
        <v>11</v>
      </c>
      <c r="D612" t="s">
        <v>12</v>
      </c>
      <c r="E612">
        <v>4325</v>
      </c>
      <c r="F612">
        <v>1.25</v>
      </c>
      <c r="G612">
        <v>1.05</v>
      </c>
      <c r="H612">
        <v>5406.25</v>
      </c>
      <c r="I612">
        <v>4541.25</v>
      </c>
      <c r="J612">
        <v>865</v>
      </c>
      <c r="K612" t="s">
        <v>39</v>
      </c>
    </row>
    <row r="613" spans="1:11" x14ac:dyDescent="0.2">
      <c r="A613" s="1">
        <v>45459</v>
      </c>
      <c r="B613" t="s">
        <v>28</v>
      </c>
      <c r="C613" t="s">
        <v>20</v>
      </c>
      <c r="D613" t="s">
        <v>14</v>
      </c>
      <c r="E613">
        <v>4688</v>
      </c>
      <c r="F613">
        <v>0.9</v>
      </c>
      <c r="G613">
        <v>0.7</v>
      </c>
      <c r="H613">
        <v>4219.2</v>
      </c>
      <c r="I613">
        <v>3281.6</v>
      </c>
      <c r="J613">
        <v>937.599999999999</v>
      </c>
      <c r="K613" t="s">
        <v>40</v>
      </c>
    </row>
    <row r="614" spans="1:11" x14ac:dyDescent="0.2">
      <c r="A614" s="1">
        <v>45461</v>
      </c>
      <c r="B614" t="s">
        <v>26</v>
      </c>
      <c r="C614" t="s">
        <v>29</v>
      </c>
      <c r="D614" t="s">
        <v>12</v>
      </c>
      <c r="E614">
        <v>2977</v>
      </c>
      <c r="F614">
        <v>1.25</v>
      </c>
      <c r="G614">
        <v>1.05</v>
      </c>
      <c r="H614">
        <v>3721.25</v>
      </c>
      <c r="I614">
        <v>3125.85</v>
      </c>
      <c r="J614">
        <v>595.4</v>
      </c>
      <c r="K614" t="s">
        <v>40</v>
      </c>
    </row>
    <row r="615" spans="1:11" x14ac:dyDescent="0.2">
      <c r="A615" s="1">
        <v>45574</v>
      </c>
      <c r="B615" t="s">
        <v>27</v>
      </c>
      <c r="C615" t="s">
        <v>11</v>
      </c>
      <c r="D615" t="s">
        <v>18</v>
      </c>
      <c r="E615">
        <v>5249</v>
      </c>
      <c r="F615">
        <v>1.2</v>
      </c>
      <c r="G615">
        <v>1</v>
      </c>
      <c r="H615">
        <v>6298.8</v>
      </c>
      <c r="I615">
        <v>5249</v>
      </c>
      <c r="J615">
        <v>1049.8</v>
      </c>
      <c r="K615" t="s">
        <v>44</v>
      </c>
    </row>
    <row r="616" spans="1:11" x14ac:dyDescent="0.2">
      <c r="A616" s="1">
        <v>45413</v>
      </c>
      <c r="B616" t="s">
        <v>22</v>
      </c>
      <c r="C616" t="s">
        <v>20</v>
      </c>
      <c r="D616" t="s">
        <v>12</v>
      </c>
      <c r="E616">
        <v>4005</v>
      </c>
      <c r="F616">
        <v>1.25</v>
      </c>
      <c r="G616">
        <v>1.05</v>
      </c>
      <c r="H616">
        <v>5006.25</v>
      </c>
      <c r="I616">
        <v>4205.25</v>
      </c>
      <c r="J616">
        <v>801</v>
      </c>
      <c r="K616" t="s">
        <v>39</v>
      </c>
    </row>
    <row r="617" spans="1:11" x14ac:dyDescent="0.2">
      <c r="A617" s="1">
        <v>45485</v>
      </c>
      <c r="B617" t="s">
        <v>26</v>
      </c>
      <c r="C617" t="s">
        <v>11</v>
      </c>
      <c r="D617" t="s">
        <v>12</v>
      </c>
      <c r="E617">
        <v>3975</v>
      </c>
      <c r="F617">
        <v>1.25</v>
      </c>
      <c r="G617">
        <v>1.05</v>
      </c>
      <c r="H617">
        <v>4968.75</v>
      </c>
      <c r="I617">
        <v>4173.75</v>
      </c>
      <c r="J617">
        <v>795</v>
      </c>
      <c r="K617" t="s">
        <v>41</v>
      </c>
    </row>
    <row r="618" spans="1:11" x14ac:dyDescent="0.2">
      <c r="A618" s="1">
        <v>45296</v>
      </c>
      <c r="B618" t="s">
        <v>28</v>
      </c>
      <c r="C618" t="s">
        <v>17</v>
      </c>
      <c r="D618" t="s">
        <v>18</v>
      </c>
      <c r="E618">
        <v>5029</v>
      </c>
      <c r="F618">
        <v>1.2</v>
      </c>
      <c r="G618">
        <v>1</v>
      </c>
      <c r="H618">
        <v>6034.8</v>
      </c>
      <c r="I618">
        <v>5029</v>
      </c>
      <c r="J618">
        <v>1005.8</v>
      </c>
      <c r="K618" t="s">
        <v>35</v>
      </c>
    </row>
    <row r="619" spans="1:11" x14ac:dyDescent="0.2">
      <c r="A619" s="1">
        <v>45320</v>
      </c>
      <c r="B619" t="s">
        <v>32</v>
      </c>
      <c r="C619" t="s">
        <v>29</v>
      </c>
      <c r="D619" t="s">
        <v>18</v>
      </c>
      <c r="E619">
        <v>1635</v>
      </c>
      <c r="F619">
        <v>1.2</v>
      </c>
      <c r="G619">
        <v>1</v>
      </c>
      <c r="H619">
        <v>1962</v>
      </c>
      <c r="I619">
        <v>1635</v>
      </c>
      <c r="J619">
        <v>327</v>
      </c>
      <c r="K619" t="s">
        <v>35</v>
      </c>
    </row>
    <row r="620" spans="1:11" x14ac:dyDescent="0.2">
      <c r="A620" s="1">
        <v>45456</v>
      </c>
      <c r="B620" t="s">
        <v>10</v>
      </c>
      <c r="C620" t="s">
        <v>20</v>
      </c>
      <c r="D620" t="s">
        <v>12</v>
      </c>
      <c r="E620">
        <v>4500</v>
      </c>
      <c r="F620">
        <v>1.25</v>
      </c>
      <c r="G620">
        <v>1.05</v>
      </c>
      <c r="H620">
        <v>5625</v>
      </c>
      <c r="I620">
        <v>4725</v>
      </c>
      <c r="J620">
        <v>900</v>
      </c>
      <c r="K620" t="s">
        <v>40</v>
      </c>
    </row>
    <row r="621" spans="1:11" x14ac:dyDescent="0.2">
      <c r="A621" s="1">
        <v>45630</v>
      </c>
      <c r="B621" t="s">
        <v>27</v>
      </c>
      <c r="C621" t="s">
        <v>17</v>
      </c>
      <c r="D621" t="s">
        <v>12</v>
      </c>
      <c r="E621">
        <v>874</v>
      </c>
      <c r="F621">
        <v>1.25</v>
      </c>
      <c r="G621">
        <v>1.05</v>
      </c>
      <c r="H621">
        <v>1092.5</v>
      </c>
      <c r="I621">
        <v>917.7</v>
      </c>
      <c r="J621">
        <v>174.79999999999899</v>
      </c>
      <c r="K621" t="s">
        <v>46</v>
      </c>
    </row>
    <row r="622" spans="1:11" x14ac:dyDescent="0.2">
      <c r="A622" s="1">
        <v>45427</v>
      </c>
      <c r="B622" t="s">
        <v>28</v>
      </c>
      <c r="C622" t="s">
        <v>17</v>
      </c>
      <c r="D622" t="s">
        <v>18</v>
      </c>
      <c r="E622">
        <v>5662</v>
      </c>
      <c r="F622">
        <v>1.2</v>
      </c>
      <c r="G622">
        <v>1</v>
      </c>
      <c r="H622">
        <v>6794.4</v>
      </c>
      <c r="I622">
        <v>5662</v>
      </c>
      <c r="J622">
        <v>1132.3999999999901</v>
      </c>
      <c r="K622" t="s">
        <v>39</v>
      </c>
    </row>
    <row r="623" spans="1:11" x14ac:dyDescent="0.2">
      <c r="A623" s="1">
        <v>45656</v>
      </c>
      <c r="B623" t="s">
        <v>31</v>
      </c>
      <c r="C623" t="s">
        <v>11</v>
      </c>
      <c r="D623" t="s">
        <v>18</v>
      </c>
      <c r="E623">
        <v>706</v>
      </c>
      <c r="F623">
        <v>1.2</v>
      </c>
      <c r="G623">
        <v>1</v>
      </c>
      <c r="H623">
        <v>847.19999999999902</v>
      </c>
      <c r="I623">
        <v>706</v>
      </c>
      <c r="J623">
        <v>141.19999999999899</v>
      </c>
      <c r="K623" t="s">
        <v>46</v>
      </c>
    </row>
    <row r="624" spans="1:11" x14ac:dyDescent="0.2">
      <c r="A624" s="1">
        <v>45612</v>
      </c>
      <c r="B624" t="s">
        <v>19</v>
      </c>
      <c r="C624" t="s">
        <v>17</v>
      </c>
      <c r="D624" t="s">
        <v>14</v>
      </c>
      <c r="E624">
        <v>5375</v>
      </c>
      <c r="F624">
        <v>0.9</v>
      </c>
      <c r="G624">
        <v>0.7</v>
      </c>
      <c r="H624">
        <v>4837.5</v>
      </c>
      <c r="I624">
        <v>3762.49999999999</v>
      </c>
      <c r="J624">
        <v>1075</v>
      </c>
      <c r="K624" t="s">
        <v>45</v>
      </c>
    </row>
    <row r="625" spans="1:11" x14ac:dyDescent="0.2">
      <c r="A625" s="1">
        <v>45633</v>
      </c>
      <c r="B625" t="s">
        <v>25</v>
      </c>
      <c r="C625" t="s">
        <v>29</v>
      </c>
      <c r="D625" t="s">
        <v>18</v>
      </c>
      <c r="E625">
        <v>1819</v>
      </c>
      <c r="F625">
        <v>1.2</v>
      </c>
      <c r="G625">
        <v>1</v>
      </c>
      <c r="H625">
        <v>2182.7999999999902</v>
      </c>
      <c r="I625">
        <v>1819</v>
      </c>
      <c r="J625">
        <v>363.79999999999899</v>
      </c>
      <c r="K625" t="s">
        <v>46</v>
      </c>
    </row>
    <row r="626" spans="1:11" x14ac:dyDescent="0.2">
      <c r="A626" s="1">
        <v>45436</v>
      </c>
      <c r="B626" t="s">
        <v>24</v>
      </c>
      <c r="C626" t="s">
        <v>29</v>
      </c>
      <c r="D626" t="s">
        <v>14</v>
      </c>
      <c r="E626">
        <v>1641</v>
      </c>
      <c r="F626">
        <v>0.9</v>
      </c>
      <c r="G626">
        <v>0.7</v>
      </c>
      <c r="H626">
        <v>1476.9</v>
      </c>
      <c r="I626">
        <v>1148.69999999999</v>
      </c>
      <c r="J626">
        <v>328.2</v>
      </c>
      <c r="K626" t="s">
        <v>39</v>
      </c>
    </row>
    <row r="627" spans="1:11" x14ac:dyDescent="0.2">
      <c r="A627" s="1">
        <v>45618</v>
      </c>
      <c r="B627" t="s">
        <v>16</v>
      </c>
      <c r="C627" t="s">
        <v>23</v>
      </c>
      <c r="D627" t="s">
        <v>18</v>
      </c>
      <c r="E627">
        <v>5127</v>
      </c>
      <c r="F627">
        <v>1.2</v>
      </c>
      <c r="G627">
        <v>1</v>
      </c>
      <c r="H627">
        <v>6152.4</v>
      </c>
      <c r="I627">
        <v>5127</v>
      </c>
      <c r="J627">
        <v>1025.3999999999901</v>
      </c>
      <c r="K627" t="s">
        <v>45</v>
      </c>
    </row>
    <row r="628" spans="1:11" x14ac:dyDescent="0.2">
      <c r="A628" s="1">
        <v>45508</v>
      </c>
      <c r="B628" t="s">
        <v>28</v>
      </c>
      <c r="C628" t="s">
        <v>29</v>
      </c>
      <c r="D628" t="s">
        <v>12</v>
      </c>
      <c r="E628">
        <v>3190</v>
      </c>
      <c r="F628">
        <v>1.25</v>
      </c>
      <c r="G628">
        <v>1.05</v>
      </c>
      <c r="H628">
        <v>3987.5</v>
      </c>
      <c r="I628">
        <v>3349.5</v>
      </c>
      <c r="J628">
        <v>638</v>
      </c>
      <c r="K628" t="s">
        <v>42</v>
      </c>
    </row>
    <row r="629" spans="1:11" x14ac:dyDescent="0.2">
      <c r="A629" s="1">
        <v>45592</v>
      </c>
      <c r="B629" t="s">
        <v>15</v>
      </c>
      <c r="C629" t="s">
        <v>17</v>
      </c>
      <c r="D629" t="s">
        <v>12</v>
      </c>
      <c r="E629">
        <v>3755</v>
      </c>
      <c r="F629">
        <v>1.25</v>
      </c>
      <c r="G629">
        <v>1.05</v>
      </c>
      <c r="H629">
        <v>4693.75</v>
      </c>
      <c r="I629">
        <v>3942.75</v>
      </c>
      <c r="J629">
        <v>751</v>
      </c>
      <c r="K629" t="s">
        <v>44</v>
      </c>
    </row>
    <row r="630" spans="1:11" x14ac:dyDescent="0.2">
      <c r="A630" s="1">
        <v>45423</v>
      </c>
      <c r="B630" t="s">
        <v>24</v>
      </c>
      <c r="C630" t="s">
        <v>29</v>
      </c>
      <c r="D630" t="s">
        <v>18</v>
      </c>
      <c r="E630">
        <v>589</v>
      </c>
      <c r="F630">
        <v>1.2</v>
      </c>
      <c r="G630">
        <v>1</v>
      </c>
      <c r="H630">
        <v>706.8</v>
      </c>
      <c r="I630">
        <v>589</v>
      </c>
      <c r="J630">
        <v>117.799999999999</v>
      </c>
      <c r="K630" t="s">
        <v>39</v>
      </c>
    </row>
    <row r="631" spans="1:11" x14ac:dyDescent="0.2">
      <c r="A631" s="1">
        <v>45583</v>
      </c>
      <c r="B631" t="s">
        <v>10</v>
      </c>
      <c r="C631" t="s">
        <v>11</v>
      </c>
      <c r="D631" t="s">
        <v>18</v>
      </c>
      <c r="E631">
        <v>5713</v>
      </c>
      <c r="F631">
        <v>1.2</v>
      </c>
      <c r="G631">
        <v>1</v>
      </c>
      <c r="H631">
        <v>6855.5999999999904</v>
      </c>
      <c r="I631">
        <v>5713</v>
      </c>
      <c r="J631">
        <v>1142.5999999999899</v>
      </c>
      <c r="K631" t="s">
        <v>44</v>
      </c>
    </row>
    <row r="632" spans="1:11" x14ac:dyDescent="0.2">
      <c r="A632" s="1">
        <v>45361</v>
      </c>
      <c r="B632" t="s">
        <v>32</v>
      </c>
      <c r="C632" t="s">
        <v>23</v>
      </c>
      <c r="D632" t="s">
        <v>12</v>
      </c>
      <c r="E632">
        <v>4608</v>
      </c>
      <c r="F632">
        <v>1.25</v>
      </c>
      <c r="G632">
        <v>1.05</v>
      </c>
      <c r="H632">
        <v>5760</v>
      </c>
      <c r="I632">
        <v>4838.3999999999996</v>
      </c>
      <c r="J632">
        <v>921.599999999999</v>
      </c>
      <c r="K632" t="s">
        <v>37</v>
      </c>
    </row>
    <row r="633" spans="1:11" x14ac:dyDescent="0.2">
      <c r="A633" s="1">
        <v>45543</v>
      </c>
      <c r="B633" t="s">
        <v>13</v>
      </c>
      <c r="C633" t="s">
        <v>17</v>
      </c>
      <c r="D633" t="s">
        <v>12</v>
      </c>
      <c r="E633">
        <v>3520</v>
      </c>
      <c r="F633">
        <v>1.25</v>
      </c>
      <c r="G633">
        <v>1.05</v>
      </c>
      <c r="H633">
        <v>4400</v>
      </c>
      <c r="I633">
        <v>3696</v>
      </c>
      <c r="J633">
        <v>704</v>
      </c>
      <c r="K633" t="s">
        <v>43</v>
      </c>
    </row>
    <row r="634" spans="1:11" x14ac:dyDescent="0.2">
      <c r="A634" s="1">
        <v>45566</v>
      </c>
      <c r="B634" t="s">
        <v>28</v>
      </c>
      <c r="C634" t="s">
        <v>23</v>
      </c>
      <c r="D634" t="s">
        <v>14</v>
      </c>
      <c r="E634">
        <v>2357</v>
      </c>
      <c r="F634">
        <v>0.9</v>
      </c>
      <c r="G634">
        <v>0.7</v>
      </c>
      <c r="H634">
        <v>2121.3000000000002</v>
      </c>
      <c r="I634">
        <v>1649.8999999999901</v>
      </c>
      <c r="J634">
        <v>471.4</v>
      </c>
      <c r="K634" t="s">
        <v>44</v>
      </c>
    </row>
    <row r="635" spans="1:11" x14ac:dyDescent="0.2">
      <c r="A635" s="1">
        <v>45655</v>
      </c>
      <c r="B635" t="s">
        <v>19</v>
      </c>
      <c r="C635" t="s">
        <v>17</v>
      </c>
      <c r="D635" t="s">
        <v>18</v>
      </c>
      <c r="E635">
        <v>1304</v>
      </c>
      <c r="F635">
        <v>1.2</v>
      </c>
      <c r="G635">
        <v>1</v>
      </c>
      <c r="H635">
        <v>1564.8</v>
      </c>
      <c r="I635">
        <v>1304</v>
      </c>
      <c r="J635">
        <v>260.79999999999899</v>
      </c>
      <c r="K635" t="s">
        <v>46</v>
      </c>
    </row>
    <row r="636" spans="1:11" x14ac:dyDescent="0.2">
      <c r="A636" s="1">
        <v>45473</v>
      </c>
      <c r="B636" t="s">
        <v>24</v>
      </c>
      <c r="C636" t="s">
        <v>11</v>
      </c>
      <c r="D636" t="s">
        <v>12</v>
      </c>
      <c r="E636">
        <v>1444</v>
      </c>
      <c r="F636">
        <v>1.25</v>
      </c>
      <c r="G636">
        <v>1.05</v>
      </c>
      <c r="H636">
        <v>1805</v>
      </c>
      <c r="I636">
        <v>1516.2</v>
      </c>
      <c r="J636">
        <v>288.79999999999899</v>
      </c>
      <c r="K636" t="s">
        <v>40</v>
      </c>
    </row>
    <row r="637" spans="1:11" x14ac:dyDescent="0.2">
      <c r="A637" s="1">
        <v>45458</v>
      </c>
      <c r="B637" t="s">
        <v>16</v>
      </c>
      <c r="C637" t="s">
        <v>23</v>
      </c>
      <c r="D637" t="s">
        <v>12</v>
      </c>
      <c r="E637">
        <v>3289</v>
      </c>
      <c r="F637">
        <v>1.25</v>
      </c>
      <c r="G637">
        <v>1.05</v>
      </c>
      <c r="H637">
        <v>4111.25</v>
      </c>
      <c r="I637">
        <v>3453.45</v>
      </c>
      <c r="J637">
        <v>657.79999999999905</v>
      </c>
      <c r="K637" t="s">
        <v>40</v>
      </c>
    </row>
    <row r="638" spans="1:11" x14ac:dyDescent="0.2">
      <c r="A638" s="1">
        <v>45382</v>
      </c>
      <c r="B638" t="s">
        <v>26</v>
      </c>
      <c r="C638" t="s">
        <v>20</v>
      </c>
      <c r="D638" t="s">
        <v>12</v>
      </c>
      <c r="E638">
        <v>4375</v>
      </c>
      <c r="F638">
        <v>1.25</v>
      </c>
      <c r="G638">
        <v>1.05</v>
      </c>
      <c r="H638">
        <v>5468.75</v>
      </c>
      <c r="I638">
        <v>4593.75</v>
      </c>
      <c r="J638">
        <v>875</v>
      </c>
      <c r="K638" t="s">
        <v>37</v>
      </c>
    </row>
    <row r="639" spans="1:11" x14ac:dyDescent="0.2">
      <c r="A639" s="1">
        <v>45493</v>
      </c>
      <c r="B639" t="s">
        <v>28</v>
      </c>
      <c r="C639" t="s">
        <v>17</v>
      </c>
      <c r="D639" t="s">
        <v>12</v>
      </c>
      <c r="E639">
        <v>2110</v>
      </c>
      <c r="F639">
        <v>1.25</v>
      </c>
      <c r="G639">
        <v>1.05</v>
      </c>
      <c r="H639">
        <v>2637.5</v>
      </c>
      <c r="I639">
        <v>2215.5</v>
      </c>
      <c r="J639">
        <v>422</v>
      </c>
      <c r="K639" t="s">
        <v>41</v>
      </c>
    </row>
    <row r="640" spans="1:11" x14ac:dyDescent="0.2">
      <c r="A640" s="1">
        <v>45637</v>
      </c>
      <c r="B640" t="s">
        <v>21</v>
      </c>
      <c r="C640" t="s">
        <v>20</v>
      </c>
      <c r="D640" t="s">
        <v>12</v>
      </c>
      <c r="E640">
        <v>3423</v>
      </c>
      <c r="F640">
        <v>1.25</v>
      </c>
      <c r="G640">
        <v>1.05</v>
      </c>
      <c r="H640">
        <v>4278.75</v>
      </c>
      <c r="I640">
        <v>3594.15</v>
      </c>
      <c r="J640">
        <v>684.599999999999</v>
      </c>
      <c r="K640" t="s">
        <v>46</v>
      </c>
    </row>
    <row r="641" spans="1:11" x14ac:dyDescent="0.2">
      <c r="A641" s="1">
        <v>45310</v>
      </c>
      <c r="B641" t="s">
        <v>32</v>
      </c>
      <c r="C641" t="s">
        <v>23</v>
      </c>
      <c r="D641" t="s">
        <v>12</v>
      </c>
      <c r="E641">
        <v>4382</v>
      </c>
      <c r="F641">
        <v>1.25</v>
      </c>
      <c r="G641">
        <v>1.05</v>
      </c>
      <c r="H641">
        <v>5477.5</v>
      </c>
      <c r="I641">
        <v>4601.1000000000004</v>
      </c>
      <c r="J641">
        <v>876.39999999999895</v>
      </c>
      <c r="K641" t="s">
        <v>35</v>
      </c>
    </row>
    <row r="642" spans="1:11" x14ac:dyDescent="0.2">
      <c r="A642" s="1">
        <v>45330</v>
      </c>
      <c r="B642" t="s">
        <v>10</v>
      </c>
      <c r="C642" t="s">
        <v>20</v>
      </c>
      <c r="D642" t="s">
        <v>18</v>
      </c>
      <c r="E642">
        <v>3721</v>
      </c>
      <c r="F642">
        <v>1.2</v>
      </c>
      <c r="G642">
        <v>1</v>
      </c>
      <c r="H642">
        <v>4465.2</v>
      </c>
      <c r="I642">
        <v>3721</v>
      </c>
      <c r="J642">
        <v>744.19999999999902</v>
      </c>
      <c r="K642" t="s">
        <v>36</v>
      </c>
    </row>
    <row r="643" spans="1:11" x14ac:dyDescent="0.2">
      <c r="A643" s="1">
        <v>45417</v>
      </c>
      <c r="B643" t="s">
        <v>25</v>
      </c>
      <c r="C643" t="s">
        <v>20</v>
      </c>
      <c r="D643" t="s">
        <v>12</v>
      </c>
      <c r="E643">
        <v>5648</v>
      </c>
      <c r="F643">
        <v>1.25</v>
      </c>
      <c r="G643">
        <v>1.05</v>
      </c>
      <c r="H643">
        <v>7060</v>
      </c>
      <c r="I643">
        <v>5930.4</v>
      </c>
      <c r="J643">
        <v>1129.5999999999899</v>
      </c>
      <c r="K643" t="s">
        <v>39</v>
      </c>
    </row>
    <row r="644" spans="1:11" x14ac:dyDescent="0.2">
      <c r="A644" s="1">
        <v>45464</v>
      </c>
      <c r="B644" t="s">
        <v>19</v>
      </c>
      <c r="C644" t="s">
        <v>23</v>
      </c>
      <c r="D644" t="s">
        <v>18</v>
      </c>
      <c r="E644">
        <v>4891</v>
      </c>
      <c r="F644">
        <v>1.2</v>
      </c>
      <c r="G644">
        <v>1</v>
      </c>
      <c r="H644">
        <v>5869.2</v>
      </c>
      <c r="I644">
        <v>4891</v>
      </c>
      <c r="J644">
        <v>978.19999999999902</v>
      </c>
      <c r="K644" t="s">
        <v>40</v>
      </c>
    </row>
    <row r="645" spans="1:11" x14ac:dyDescent="0.2">
      <c r="A645" s="1">
        <v>45432</v>
      </c>
      <c r="B645" t="s">
        <v>30</v>
      </c>
      <c r="C645" t="s">
        <v>11</v>
      </c>
      <c r="D645" t="s">
        <v>14</v>
      </c>
      <c r="E645">
        <v>5521</v>
      </c>
      <c r="F645">
        <v>0.9</v>
      </c>
      <c r="G645">
        <v>0.7</v>
      </c>
      <c r="H645">
        <v>4968.8999999999996</v>
      </c>
      <c r="I645">
        <v>3864.7</v>
      </c>
      <c r="J645">
        <v>1104.2</v>
      </c>
      <c r="K645" t="s">
        <v>39</v>
      </c>
    </row>
    <row r="646" spans="1:11" x14ac:dyDescent="0.2">
      <c r="A646" s="1">
        <v>45533</v>
      </c>
      <c r="B646" t="s">
        <v>30</v>
      </c>
      <c r="C646" t="s">
        <v>20</v>
      </c>
      <c r="D646" t="s">
        <v>12</v>
      </c>
      <c r="E646">
        <v>5235</v>
      </c>
      <c r="F646">
        <v>1.25</v>
      </c>
      <c r="G646">
        <v>1.05</v>
      </c>
      <c r="H646">
        <v>6543.75</v>
      </c>
      <c r="I646">
        <v>5496.75</v>
      </c>
      <c r="J646">
        <v>1047</v>
      </c>
      <c r="K646" t="s">
        <v>42</v>
      </c>
    </row>
    <row r="647" spans="1:11" x14ac:dyDescent="0.2">
      <c r="A647" s="1">
        <v>45511</v>
      </c>
      <c r="B647" t="s">
        <v>15</v>
      </c>
      <c r="C647" t="s">
        <v>20</v>
      </c>
      <c r="D647" t="s">
        <v>18</v>
      </c>
      <c r="E647">
        <v>2887</v>
      </c>
      <c r="F647">
        <v>1.2</v>
      </c>
      <c r="G647">
        <v>1</v>
      </c>
      <c r="H647">
        <v>3464.4</v>
      </c>
      <c r="I647">
        <v>2887</v>
      </c>
      <c r="J647">
        <v>577.4</v>
      </c>
      <c r="K647" t="s">
        <v>42</v>
      </c>
    </row>
    <row r="648" spans="1:11" x14ac:dyDescent="0.2">
      <c r="A648" s="1">
        <v>45417</v>
      </c>
      <c r="B648" t="s">
        <v>24</v>
      </c>
      <c r="C648" t="s">
        <v>11</v>
      </c>
      <c r="D648" t="s">
        <v>12</v>
      </c>
      <c r="E648">
        <v>5223</v>
      </c>
      <c r="F648">
        <v>1.25</v>
      </c>
      <c r="G648">
        <v>1.05</v>
      </c>
      <c r="H648">
        <v>6528.75</v>
      </c>
      <c r="I648">
        <v>5484.15</v>
      </c>
      <c r="J648">
        <v>1044.5999999999899</v>
      </c>
      <c r="K648" t="s">
        <v>39</v>
      </c>
    </row>
    <row r="649" spans="1:11" x14ac:dyDescent="0.2">
      <c r="A649" s="1">
        <v>45349</v>
      </c>
      <c r="B649" t="s">
        <v>19</v>
      </c>
      <c r="C649" t="s">
        <v>20</v>
      </c>
      <c r="D649" t="s">
        <v>14</v>
      </c>
      <c r="E649">
        <v>5763</v>
      </c>
      <c r="F649">
        <v>0.9</v>
      </c>
      <c r="G649">
        <v>0.7</v>
      </c>
      <c r="H649">
        <v>5186.7</v>
      </c>
      <c r="I649">
        <v>4034.1</v>
      </c>
      <c r="J649">
        <v>1152.5999999999999</v>
      </c>
      <c r="K649" t="s">
        <v>36</v>
      </c>
    </row>
    <row r="650" spans="1:11" x14ac:dyDescent="0.2">
      <c r="A650" s="1">
        <v>45439</v>
      </c>
      <c r="B650" t="s">
        <v>27</v>
      </c>
      <c r="C650" t="s">
        <v>20</v>
      </c>
      <c r="D650" t="s">
        <v>12</v>
      </c>
      <c r="E650">
        <v>1441</v>
      </c>
      <c r="F650">
        <v>1.25</v>
      </c>
      <c r="G650">
        <v>1.05</v>
      </c>
      <c r="H650">
        <v>1801.25</v>
      </c>
      <c r="I650">
        <v>1513.05</v>
      </c>
      <c r="J650">
        <v>288.2</v>
      </c>
      <c r="K650" t="s">
        <v>39</v>
      </c>
    </row>
    <row r="651" spans="1:11" x14ac:dyDescent="0.2">
      <c r="A651" s="1">
        <v>45608</v>
      </c>
      <c r="B651" t="s">
        <v>16</v>
      </c>
      <c r="C651" t="s">
        <v>20</v>
      </c>
      <c r="D651" t="s">
        <v>18</v>
      </c>
      <c r="E651">
        <v>5425</v>
      </c>
      <c r="F651">
        <v>1.2</v>
      </c>
      <c r="G651">
        <v>1</v>
      </c>
      <c r="H651">
        <v>6510</v>
      </c>
      <c r="I651">
        <v>5425</v>
      </c>
      <c r="J651">
        <v>1085</v>
      </c>
      <c r="K651" t="s">
        <v>45</v>
      </c>
    </row>
    <row r="652" spans="1:11" x14ac:dyDescent="0.2">
      <c r="A652" s="1">
        <v>45652</v>
      </c>
      <c r="B652" t="s">
        <v>25</v>
      </c>
      <c r="C652" t="s">
        <v>29</v>
      </c>
      <c r="D652" t="s">
        <v>18</v>
      </c>
      <c r="E652">
        <v>3066</v>
      </c>
      <c r="F652">
        <v>1.2</v>
      </c>
      <c r="G652">
        <v>1</v>
      </c>
      <c r="H652">
        <v>3679.2</v>
      </c>
      <c r="I652">
        <v>3066</v>
      </c>
      <c r="J652">
        <v>613.19999999999902</v>
      </c>
      <c r="K652" t="s">
        <v>46</v>
      </c>
    </row>
    <row r="653" spans="1:11" x14ac:dyDescent="0.2">
      <c r="A653" s="1">
        <v>45292</v>
      </c>
      <c r="B653" t="s">
        <v>26</v>
      </c>
      <c r="C653" t="s">
        <v>11</v>
      </c>
      <c r="D653" t="s">
        <v>12</v>
      </c>
      <c r="E653">
        <v>1475</v>
      </c>
      <c r="F653">
        <v>1.25</v>
      </c>
      <c r="G653">
        <v>1.05</v>
      </c>
      <c r="H653">
        <v>1843.75</v>
      </c>
      <c r="I653">
        <v>1548.75</v>
      </c>
      <c r="J653">
        <v>295</v>
      </c>
      <c r="K653" t="s">
        <v>35</v>
      </c>
    </row>
    <row r="654" spans="1:11" x14ac:dyDescent="0.2">
      <c r="A654" s="1">
        <v>45639</v>
      </c>
      <c r="B654" t="s">
        <v>28</v>
      </c>
      <c r="C654" t="s">
        <v>20</v>
      </c>
      <c r="D654" t="s">
        <v>12</v>
      </c>
      <c r="E654">
        <v>1454</v>
      </c>
      <c r="F654">
        <v>1.25</v>
      </c>
      <c r="G654">
        <v>1.05</v>
      </c>
      <c r="H654">
        <v>1817.5</v>
      </c>
      <c r="I654">
        <v>1526.7</v>
      </c>
      <c r="J654">
        <v>290.79999999999899</v>
      </c>
      <c r="K654" t="s">
        <v>46</v>
      </c>
    </row>
    <row r="655" spans="1:11" x14ac:dyDescent="0.2">
      <c r="A655" s="1">
        <v>45481</v>
      </c>
      <c r="B655" t="s">
        <v>28</v>
      </c>
      <c r="C655" t="s">
        <v>11</v>
      </c>
      <c r="D655" t="s">
        <v>18</v>
      </c>
      <c r="E655">
        <v>1762</v>
      </c>
      <c r="F655">
        <v>1.2</v>
      </c>
      <c r="G655">
        <v>1</v>
      </c>
      <c r="H655">
        <v>2114.4</v>
      </c>
      <c r="I655">
        <v>1762</v>
      </c>
      <c r="J655">
        <v>352.4</v>
      </c>
      <c r="K655" t="s">
        <v>41</v>
      </c>
    </row>
    <row r="656" spans="1:11" x14ac:dyDescent="0.2">
      <c r="A656" s="1">
        <v>45482</v>
      </c>
      <c r="B656" t="s">
        <v>30</v>
      </c>
      <c r="C656" t="s">
        <v>17</v>
      </c>
      <c r="D656" t="s">
        <v>18</v>
      </c>
      <c r="E656">
        <v>5547</v>
      </c>
      <c r="F656">
        <v>1.2</v>
      </c>
      <c r="G656">
        <v>1</v>
      </c>
      <c r="H656">
        <v>6656.4</v>
      </c>
      <c r="I656">
        <v>5547</v>
      </c>
      <c r="J656">
        <v>1109.3999999999901</v>
      </c>
      <c r="K656" t="s">
        <v>41</v>
      </c>
    </row>
    <row r="657" spans="1:11" x14ac:dyDescent="0.2">
      <c r="A657" s="1">
        <v>45603</v>
      </c>
      <c r="B657" t="s">
        <v>28</v>
      </c>
      <c r="C657" t="s">
        <v>17</v>
      </c>
      <c r="D657" t="s">
        <v>12</v>
      </c>
      <c r="E657">
        <v>1443</v>
      </c>
      <c r="F657">
        <v>1.25</v>
      </c>
      <c r="G657">
        <v>1.05</v>
      </c>
      <c r="H657">
        <v>1803.75</v>
      </c>
      <c r="I657">
        <v>1515.15</v>
      </c>
      <c r="J657">
        <v>288.599999999999</v>
      </c>
      <c r="K657" t="s">
        <v>45</v>
      </c>
    </row>
    <row r="658" spans="1:11" x14ac:dyDescent="0.2">
      <c r="A658" s="1">
        <v>45408</v>
      </c>
      <c r="B658" t="s">
        <v>10</v>
      </c>
      <c r="C658" t="s">
        <v>20</v>
      </c>
      <c r="D658" t="s">
        <v>18</v>
      </c>
      <c r="E658">
        <v>2702</v>
      </c>
      <c r="F658">
        <v>1.2</v>
      </c>
      <c r="G658">
        <v>1</v>
      </c>
      <c r="H658">
        <v>3242.4</v>
      </c>
      <c r="I658">
        <v>2702</v>
      </c>
      <c r="J658">
        <v>540.4</v>
      </c>
      <c r="K658" t="s">
        <v>38</v>
      </c>
    </row>
    <row r="659" spans="1:11" x14ac:dyDescent="0.2">
      <c r="A659" s="1">
        <v>45425</v>
      </c>
      <c r="B659" t="s">
        <v>25</v>
      </c>
      <c r="C659" t="s">
        <v>11</v>
      </c>
      <c r="D659" t="s">
        <v>12</v>
      </c>
      <c r="E659">
        <v>5800</v>
      </c>
      <c r="F659">
        <v>1.25</v>
      </c>
      <c r="G659">
        <v>1.05</v>
      </c>
      <c r="H659">
        <v>7250</v>
      </c>
      <c r="I659">
        <v>6090</v>
      </c>
      <c r="J659">
        <v>1160</v>
      </c>
      <c r="K659" t="s">
        <v>39</v>
      </c>
    </row>
    <row r="660" spans="1:11" x14ac:dyDescent="0.2">
      <c r="A660" s="1">
        <v>45349</v>
      </c>
      <c r="B660" t="s">
        <v>21</v>
      </c>
      <c r="C660" t="s">
        <v>11</v>
      </c>
      <c r="D660" t="s">
        <v>18</v>
      </c>
      <c r="E660">
        <v>3827</v>
      </c>
      <c r="F660">
        <v>1.2</v>
      </c>
      <c r="G660">
        <v>1</v>
      </c>
      <c r="H660">
        <v>4592.3999999999996</v>
      </c>
      <c r="I660">
        <v>3827</v>
      </c>
      <c r="J660">
        <v>765.39999999999895</v>
      </c>
      <c r="K660" t="s">
        <v>36</v>
      </c>
    </row>
    <row r="661" spans="1:11" x14ac:dyDescent="0.2">
      <c r="A661" s="1">
        <v>45335</v>
      </c>
      <c r="B661" t="s">
        <v>13</v>
      </c>
      <c r="C661" t="s">
        <v>11</v>
      </c>
      <c r="D661" t="s">
        <v>12</v>
      </c>
      <c r="E661">
        <v>5692</v>
      </c>
      <c r="F661">
        <v>1.25</v>
      </c>
      <c r="G661">
        <v>1.05</v>
      </c>
      <c r="H661">
        <v>7115</v>
      </c>
      <c r="I661">
        <v>5976.6</v>
      </c>
      <c r="J661">
        <v>1138.3999999999901</v>
      </c>
      <c r="K661" t="s">
        <v>36</v>
      </c>
    </row>
    <row r="662" spans="1:11" x14ac:dyDescent="0.2">
      <c r="A662" s="1">
        <v>45464</v>
      </c>
      <c r="B662" t="s">
        <v>15</v>
      </c>
      <c r="C662" t="s">
        <v>29</v>
      </c>
      <c r="D662" t="s">
        <v>14</v>
      </c>
      <c r="E662">
        <v>4774</v>
      </c>
      <c r="F662">
        <v>0.9</v>
      </c>
      <c r="G662">
        <v>0.7</v>
      </c>
      <c r="H662">
        <v>4296.6000000000004</v>
      </c>
      <c r="I662">
        <v>3341.7999999999902</v>
      </c>
      <c r="J662">
        <v>954.8</v>
      </c>
      <c r="K662" t="s">
        <v>40</v>
      </c>
    </row>
    <row r="663" spans="1:11" x14ac:dyDescent="0.2">
      <c r="A663" s="1">
        <v>45451</v>
      </c>
      <c r="B663" t="s">
        <v>22</v>
      </c>
      <c r="C663" t="s">
        <v>17</v>
      </c>
      <c r="D663" t="s">
        <v>12</v>
      </c>
      <c r="E663">
        <v>2759</v>
      </c>
      <c r="F663">
        <v>1.25</v>
      </c>
      <c r="G663">
        <v>1.05</v>
      </c>
      <c r="H663">
        <v>3448.75</v>
      </c>
      <c r="I663">
        <v>2896.95</v>
      </c>
      <c r="J663">
        <v>551.79999999999905</v>
      </c>
      <c r="K663" t="s">
        <v>40</v>
      </c>
    </row>
    <row r="664" spans="1:11" x14ac:dyDescent="0.2">
      <c r="A664" s="1">
        <v>45464</v>
      </c>
      <c r="B664" t="s">
        <v>31</v>
      </c>
      <c r="C664" t="s">
        <v>11</v>
      </c>
      <c r="D664" t="s">
        <v>12</v>
      </c>
      <c r="E664">
        <v>2328</v>
      </c>
      <c r="F664">
        <v>1.25</v>
      </c>
      <c r="G664">
        <v>1.05</v>
      </c>
      <c r="H664">
        <v>2910</v>
      </c>
      <c r="I664">
        <v>2444.4</v>
      </c>
      <c r="J664">
        <v>465.599999999999</v>
      </c>
      <c r="K664" t="s">
        <v>40</v>
      </c>
    </row>
    <row r="665" spans="1:11" x14ac:dyDescent="0.2">
      <c r="A665" s="1">
        <v>45608</v>
      </c>
      <c r="B665" t="s">
        <v>15</v>
      </c>
      <c r="C665" t="s">
        <v>11</v>
      </c>
      <c r="D665" t="s">
        <v>12</v>
      </c>
      <c r="E665">
        <v>1757</v>
      </c>
      <c r="F665">
        <v>1.25</v>
      </c>
      <c r="G665">
        <v>1.05</v>
      </c>
      <c r="H665">
        <v>2196.25</v>
      </c>
      <c r="I665">
        <v>1844.85</v>
      </c>
      <c r="J665">
        <v>351.39999999999901</v>
      </c>
      <c r="K665" t="s">
        <v>45</v>
      </c>
    </row>
    <row r="666" spans="1:11" x14ac:dyDescent="0.2">
      <c r="A666" s="1">
        <v>45594</v>
      </c>
      <c r="B666" t="s">
        <v>24</v>
      </c>
      <c r="C666" t="s">
        <v>29</v>
      </c>
      <c r="D666" t="s">
        <v>12</v>
      </c>
      <c r="E666">
        <v>964</v>
      </c>
      <c r="F666">
        <v>1.25</v>
      </c>
      <c r="G666">
        <v>1.05</v>
      </c>
      <c r="H666">
        <v>1205</v>
      </c>
      <c r="I666">
        <v>1012.2</v>
      </c>
      <c r="J666">
        <v>192.79999999999899</v>
      </c>
      <c r="K666" t="s">
        <v>44</v>
      </c>
    </row>
    <row r="667" spans="1:11" x14ac:dyDescent="0.2">
      <c r="A667" s="1">
        <v>45440</v>
      </c>
      <c r="B667" t="s">
        <v>21</v>
      </c>
      <c r="C667" t="s">
        <v>29</v>
      </c>
      <c r="D667" t="s">
        <v>18</v>
      </c>
      <c r="E667">
        <v>3794</v>
      </c>
      <c r="F667">
        <v>1.2</v>
      </c>
      <c r="G667">
        <v>1</v>
      </c>
      <c r="H667">
        <v>4552.8</v>
      </c>
      <c r="I667">
        <v>3794</v>
      </c>
      <c r="J667">
        <v>758.8</v>
      </c>
      <c r="K667" t="s">
        <v>39</v>
      </c>
    </row>
    <row r="668" spans="1:11" x14ac:dyDescent="0.2">
      <c r="A668" s="1">
        <v>45371</v>
      </c>
      <c r="B668" t="s">
        <v>15</v>
      </c>
      <c r="C668" t="s">
        <v>11</v>
      </c>
      <c r="D668" t="s">
        <v>12</v>
      </c>
      <c r="E668">
        <v>1730</v>
      </c>
      <c r="F668">
        <v>1.25</v>
      </c>
      <c r="G668">
        <v>1.05</v>
      </c>
      <c r="H668">
        <v>2162.5</v>
      </c>
      <c r="I668">
        <v>1816.5</v>
      </c>
      <c r="J668">
        <v>346</v>
      </c>
      <c r="K668" t="s">
        <v>37</v>
      </c>
    </row>
    <row r="669" spans="1:11" x14ac:dyDescent="0.2">
      <c r="A669" s="1">
        <v>45504</v>
      </c>
      <c r="B669" t="s">
        <v>26</v>
      </c>
      <c r="C669" t="s">
        <v>23</v>
      </c>
      <c r="D669" t="s">
        <v>18</v>
      </c>
      <c r="E669">
        <v>3154</v>
      </c>
      <c r="F669">
        <v>1.2</v>
      </c>
      <c r="G669">
        <v>1</v>
      </c>
      <c r="H669">
        <v>3784.7999999999902</v>
      </c>
      <c r="I669">
        <v>3154</v>
      </c>
      <c r="J669">
        <v>630.79999999999905</v>
      </c>
      <c r="K669" t="s">
        <v>41</v>
      </c>
    </row>
    <row r="670" spans="1:11" x14ac:dyDescent="0.2">
      <c r="A670" s="1">
        <v>45494</v>
      </c>
      <c r="B670" t="s">
        <v>30</v>
      </c>
      <c r="C670" t="s">
        <v>11</v>
      </c>
      <c r="D670" t="s">
        <v>12</v>
      </c>
      <c r="E670">
        <v>1384</v>
      </c>
      <c r="F670">
        <v>1.25</v>
      </c>
      <c r="G670">
        <v>1.05</v>
      </c>
      <c r="H670">
        <v>1730</v>
      </c>
      <c r="I670">
        <v>1453.2</v>
      </c>
      <c r="J670">
        <v>276.79999999999899</v>
      </c>
      <c r="K670" t="s">
        <v>41</v>
      </c>
    </row>
    <row r="671" spans="1:11" x14ac:dyDescent="0.2">
      <c r="A671" s="1">
        <v>45543</v>
      </c>
      <c r="B671" t="s">
        <v>32</v>
      </c>
      <c r="C671" t="s">
        <v>11</v>
      </c>
      <c r="D671" t="s">
        <v>12</v>
      </c>
      <c r="E671">
        <v>4305</v>
      </c>
      <c r="F671">
        <v>1.25</v>
      </c>
      <c r="G671">
        <v>1.05</v>
      </c>
      <c r="H671">
        <v>5381.25</v>
      </c>
      <c r="I671">
        <v>4520.25</v>
      </c>
      <c r="J671">
        <v>861</v>
      </c>
      <c r="K671" t="s">
        <v>43</v>
      </c>
    </row>
    <row r="672" spans="1:11" x14ac:dyDescent="0.2">
      <c r="A672" s="1">
        <v>45520</v>
      </c>
      <c r="B672" t="s">
        <v>24</v>
      </c>
      <c r="C672" t="s">
        <v>29</v>
      </c>
      <c r="D672" t="s">
        <v>12</v>
      </c>
      <c r="E672">
        <v>5928</v>
      </c>
      <c r="F672">
        <v>1.25</v>
      </c>
      <c r="G672">
        <v>1.05</v>
      </c>
      <c r="H672">
        <v>7410</v>
      </c>
      <c r="I672">
        <v>6224.4</v>
      </c>
      <c r="J672">
        <v>1185.5999999999899</v>
      </c>
      <c r="K672" t="s">
        <v>42</v>
      </c>
    </row>
    <row r="673" spans="1:11" x14ac:dyDescent="0.2">
      <c r="A673" s="1">
        <v>45455</v>
      </c>
      <c r="B673" t="s">
        <v>28</v>
      </c>
      <c r="C673" t="s">
        <v>29</v>
      </c>
      <c r="D673" t="s">
        <v>12</v>
      </c>
      <c r="E673">
        <v>5540</v>
      </c>
      <c r="F673">
        <v>1.25</v>
      </c>
      <c r="G673">
        <v>1.05</v>
      </c>
      <c r="H673">
        <v>6925</v>
      </c>
      <c r="I673">
        <v>5817</v>
      </c>
      <c r="J673">
        <v>1108</v>
      </c>
      <c r="K673" t="s">
        <v>40</v>
      </c>
    </row>
    <row r="674" spans="1:11" x14ac:dyDescent="0.2">
      <c r="A674" s="1">
        <v>45518</v>
      </c>
      <c r="B674" t="s">
        <v>19</v>
      </c>
      <c r="C674" t="s">
        <v>11</v>
      </c>
      <c r="D674" t="s">
        <v>12</v>
      </c>
      <c r="E674">
        <v>4356</v>
      </c>
      <c r="F674">
        <v>1.25</v>
      </c>
      <c r="G674">
        <v>1.05</v>
      </c>
      <c r="H674">
        <v>5445</v>
      </c>
      <c r="I674">
        <v>4573.8</v>
      </c>
      <c r="J674">
        <v>871.19999999999902</v>
      </c>
      <c r="K674" t="s">
        <v>42</v>
      </c>
    </row>
    <row r="675" spans="1:11" x14ac:dyDescent="0.2">
      <c r="A675" s="1">
        <v>45438</v>
      </c>
      <c r="B675" t="s">
        <v>26</v>
      </c>
      <c r="C675" t="s">
        <v>11</v>
      </c>
      <c r="D675" t="s">
        <v>12</v>
      </c>
      <c r="E675">
        <v>3635</v>
      </c>
      <c r="F675">
        <v>1.25</v>
      </c>
      <c r="G675">
        <v>1.05</v>
      </c>
      <c r="H675">
        <v>4543.75</v>
      </c>
      <c r="I675">
        <v>3816.75</v>
      </c>
      <c r="J675">
        <v>727</v>
      </c>
      <c r="K675" t="s">
        <v>39</v>
      </c>
    </row>
    <row r="676" spans="1:11" x14ac:dyDescent="0.2">
      <c r="A676" s="1">
        <v>45311</v>
      </c>
      <c r="B676" t="s">
        <v>24</v>
      </c>
      <c r="C676" t="s">
        <v>11</v>
      </c>
      <c r="D676" t="s">
        <v>12</v>
      </c>
      <c r="E676">
        <v>1424</v>
      </c>
      <c r="F676">
        <v>1.25</v>
      </c>
      <c r="G676">
        <v>1.05</v>
      </c>
      <c r="H676">
        <v>1780</v>
      </c>
      <c r="I676">
        <v>1495.2</v>
      </c>
      <c r="J676">
        <v>284.79999999999899</v>
      </c>
      <c r="K676" t="s">
        <v>35</v>
      </c>
    </row>
    <row r="677" spans="1:11" x14ac:dyDescent="0.2">
      <c r="A677" s="1">
        <v>45338</v>
      </c>
      <c r="B677" t="s">
        <v>32</v>
      </c>
      <c r="C677" t="s">
        <v>29</v>
      </c>
      <c r="D677" t="s">
        <v>12</v>
      </c>
      <c r="E677">
        <v>5089</v>
      </c>
      <c r="F677">
        <v>1.25</v>
      </c>
      <c r="G677">
        <v>1.05</v>
      </c>
      <c r="H677">
        <v>6361.25</v>
      </c>
      <c r="I677">
        <v>5343.45</v>
      </c>
      <c r="J677">
        <v>1017.8</v>
      </c>
      <c r="K677" t="s">
        <v>36</v>
      </c>
    </row>
    <row r="678" spans="1:11" x14ac:dyDescent="0.2">
      <c r="A678" s="1">
        <v>45524</v>
      </c>
      <c r="B678" t="s">
        <v>16</v>
      </c>
      <c r="C678" t="s">
        <v>11</v>
      </c>
      <c r="D678" t="s">
        <v>18</v>
      </c>
      <c r="E678">
        <v>2046</v>
      </c>
      <c r="F678">
        <v>1.2</v>
      </c>
      <c r="G678">
        <v>1</v>
      </c>
      <c r="H678">
        <v>2455.1999999999998</v>
      </c>
      <c r="I678">
        <v>2046</v>
      </c>
      <c r="J678">
        <v>409.19999999999902</v>
      </c>
      <c r="K678" t="s">
        <v>42</v>
      </c>
    </row>
    <row r="679" spans="1:11" x14ac:dyDescent="0.2">
      <c r="A679" s="1">
        <v>45596</v>
      </c>
      <c r="B679" t="s">
        <v>28</v>
      </c>
      <c r="C679" t="s">
        <v>11</v>
      </c>
      <c r="D679" t="s">
        <v>18</v>
      </c>
      <c r="E679">
        <v>1594</v>
      </c>
      <c r="F679">
        <v>1.2</v>
      </c>
      <c r="G679">
        <v>1</v>
      </c>
      <c r="H679">
        <v>1912.8</v>
      </c>
      <c r="I679">
        <v>1594</v>
      </c>
      <c r="J679">
        <v>318.79999999999899</v>
      </c>
      <c r="K679" t="s">
        <v>44</v>
      </c>
    </row>
    <row r="680" spans="1:11" x14ac:dyDescent="0.2">
      <c r="A680" s="1">
        <v>45305</v>
      </c>
      <c r="B680" t="s">
        <v>15</v>
      </c>
      <c r="C680" t="s">
        <v>20</v>
      </c>
      <c r="D680" t="s">
        <v>12</v>
      </c>
      <c r="E680">
        <v>2911</v>
      </c>
      <c r="F680">
        <v>1.25</v>
      </c>
      <c r="G680">
        <v>1.05</v>
      </c>
      <c r="H680">
        <v>3638.75</v>
      </c>
      <c r="I680">
        <v>3056.55</v>
      </c>
      <c r="J680">
        <v>582.19999999999902</v>
      </c>
      <c r="K680" t="s">
        <v>35</v>
      </c>
    </row>
    <row r="681" spans="1:11" x14ac:dyDescent="0.2">
      <c r="A681" s="1">
        <v>45434</v>
      </c>
      <c r="B681" t="s">
        <v>15</v>
      </c>
      <c r="C681" t="s">
        <v>23</v>
      </c>
      <c r="D681" t="s">
        <v>12</v>
      </c>
      <c r="E681">
        <v>3117</v>
      </c>
      <c r="F681">
        <v>1.25</v>
      </c>
      <c r="G681">
        <v>1.05</v>
      </c>
      <c r="H681">
        <v>3896.25</v>
      </c>
      <c r="I681">
        <v>3272.85</v>
      </c>
      <c r="J681">
        <v>623.39999999999895</v>
      </c>
      <c r="K681" t="s">
        <v>39</v>
      </c>
    </row>
    <row r="682" spans="1:11" x14ac:dyDescent="0.2">
      <c r="A682" s="1">
        <v>45292</v>
      </c>
      <c r="B682" t="s">
        <v>24</v>
      </c>
      <c r="C682" t="s">
        <v>17</v>
      </c>
      <c r="D682" t="s">
        <v>14</v>
      </c>
      <c r="E682">
        <v>1262</v>
      </c>
      <c r="F682">
        <v>0.9</v>
      </c>
      <c r="G682">
        <v>0.7</v>
      </c>
      <c r="H682">
        <v>1135.8</v>
      </c>
      <c r="I682">
        <v>883.4</v>
      </c>
      <c r="J682">
        <v>252.39999999999901</v>
      </c>
      <c r="K682" t="s">
        <v>35</v>
      </c>
    </row>
    <row r="683" spans="1:11" x14ac:dyDescent="0.2">
      <c r="A683" s="1">
        <v>45345</v>
      </c>
      <c r="B683" t="s">
        <v>19</v>
      </c>
      <c r="C683" t="s">
        <v>23</v>
      </c>
      <c r="D683" t="s">
        <v>18</v>
      </c>
      <c r="E683">
        <v>2823</v>
      </c>
      <c r="F683">
        <v>1.2</v>
      </c>
      <c r="G683">
        <v>1</v>
      </c>
      <c r="H683">
        <v>3387.6</v>
      </c>
      <c r="I683">
        <v>2823</v>
      </c>
      <c r="J683">
        <v>564.599999999999</v>
      </c>
      <c r="K683" t="s">
        <v>36</v>
      </c>
    </row>
    <row r="684" spans="1:11" x14ac:dyDescent="0.2">
      <c r="A684" s="1">
        <v>45550</v>
      </c>
      <c r="B684" t="s">
        <v>16</v>
      </c>
      <c r="C684" t="s">
        <v>20</v>
      </c>
      <c r="D684" t="s">
        <v>18</v>
      </c>
      <c r="E684">
        <v>4645</v>
      </c>
      <c r="F684">
        <v>1.2</v>
      </c>
      <c r="G684">
        <v>1</v>
      </c>
      <c r="H684">
        <v>5574</v>
      </c>
      <c r="I684">
        <v>4645</v>
      </c>
      <c r="J684">
        <v>929</v>
      </c>
      <c r="K684" t="s">
        <v>43</v>
      </c>
    </row>
    <row r="685" spans="1:11" x14ac:dyDescent="0.2">
      <c r="A685" s="1">
        <v>45435</v>
      </c>
      <c r="B685" t="s">
        <v>28</v>
      </c>
      <c r="C685" t="s">
        <v>17</v>
      </c>
      <c r="D685" t="s">
        <v>12</v>
      </c>
      <c r="E685">
        <v>3275</v>
      </c>
      <c r="F685">
        <v>1.25</v>
      </c>
      <c r="G685">
        <v>1.05</v>
      </c>
      <c r="H685">
        <v>4093.75</v>
      </c>
      <c r="I685">
        <v>3438.75</v>
      </c>
      <c r="J685">
        <v>655</v>
      </c>
      <c r="K685" t="s">
        <v>39</v>
      </c>
    </row>
    <row r="686" spans="1:11" x14ac:dyDescent="0.2">
      <c r="A686" s="1">
        <v>45303</v>
      </c>
      <c r="B686" t="s">
        <v>32</v>
      </c>
      <c r="C686" t="s">
        <v>11</v>
      </c>
      <c r="D686" t="s">
        <v>18</v>
      </c>
      <c r="E686">
        <v>5501</v>
      </c>
      <c r="F686">
        <v>1.2</v>
      </c>
      <c r="G686">
        <v>1</v>
      </c>
      <c r="H686">
        <v>6601.2</v>
      </c>
      <c r="I686">
        <v>5501</v>
      </c>
      <c r="J686">
        <v>1100.19999999999</v>
      </c>
      <c r="K686" t="s">
        <v>35</v>
      </c>
    </row>
    <row r="687" spans="1:11" x14ac:dyDescent="0.2">
      <c r="A687" s="1">
        <v>45621</v>
      </c>
      <c r="B687" t="s">
        <v>13</v>
      </c>
      <c r="C687" t="s">
        <v>20</v>
      </c>
      <c r="D687" t="s">
        <v>18</v>
      </c>
      <c r="E687">
        <v>5159</v>
      </c>
      <c r="F687">
        <v>1.2</v>
      </c>
      <c r="G687">
        <v>1</v>
      </c>
      <c r="H687">
        <v>6190.8</v>
      </c>
      <c r="I687">
        <v>5159</v>
      </c>
      <c r="J687">
        <v>1031.8</v>
      </c>
      <c r="K687" t="s">
        <v>45</v>
      </c>
    </row>
    <row r="688" spans="1:11" x14ac:dyDescent="0.2">
      <c r="A688" s="1">
        <v>45515</v>
      </c>
      <c r="B688" t="s">
        <v>15</v>
      </c>
      <c r="C688" t="s">
        <v>11</v>
      </c>
      <c r="D688" t="s">
        <v>18</v>
      </c>
      <c r="E688">
        <v>5378</v>
      </c>
      <c r="F688">
        <v>1.2</v>
      </c>
      <c r="G688">
        <v>1</v>
      </c>
      <c r="H688">
        <v>6453.5999999999904</v>
      </c>
      <c r="I688">
        <v>5378</v>
      </c>
      <c r="J688">
        <v>1075.5999999999899</v>
      </c>
      <c r="K688" t="s">
        <v>42</v>
      </c>
    </row>
    <row r="689" spans="1:11" x14ac:dyDescent="0.2">
      <c r="A689" s="1">
        <v>45563</v>
      </c>
      <c r="B689" t="s">
        <v>32</v>
      </c>
      <c r="C689" t="s">
        <v>29</v>
      </c>
      <c r="D689" t="s">
        <v>14</v>
      </c>
      <c r="E689">
        <v>3655</v>
      </c>
      <c r="F689">
        <v>0.9</v>
      </c>
      <c r="G689">
        <v>0.7</v>
      </c>
      <c r="H689">
        <v>3289.5</v>
      </c>
      <c r="I689">
        <v>2558.5</v>
      </c>
      <c r="J689">
        <v>731</v>
      </c>
      <c r="K689" t="s">
        <v>43</v>
      </c>
    </row>
    <row r="690" spans="1:11" x14ac:dyDescent="0.2">
      <c r="A690" s="1">
        <v>45649</v>
      </c>
      <c r="B690" t="s">
        <v>21</v>
      </c>
      <c r="C690" t="s">
        <v>20</v>
      </c>
      <c r="D690" t="s">
        <v>12</v>
      </c>
      <c r="E690">
        <v>4470</v>
      </c>
      <c r="F690">
        <v>1.25</v>
      </c>
      <c r="G690">
        <v>1.05</v>
      </c>
      <c r="H690">
        <v>5587.5</v>
      </c>
      <c r="I690">
        <v>4693.5</v>
      </c>
      <c r="J690">
        <v>894</v>
      </c>
      <c r="K690" t="s">
        <v>46</v>
      </c>
    </row>
    <row r="691" spans="1:11" x14ac:dyDescent="0.2">
      <c r="A691" s="1">
        <v>45447</v>
      </c>
      <c r="B691" t="s">
        <v>15</v>
      </c>
      <c r="C691" t="s">
        <v>29</v>
      </c>
      <c r="D691" t="s">
        <v>12</v>
      </c>
      <c r="E691">
        <v>2540</v>
      </c>
      <c r="F691">
        <v>1.25</v>
      </c>
      <c r="G691">
        <v>1.05</v>
      </c>
      <c r="H691">
        <v>3175</v>
      </c>
      <c r="I691">
        <v>2667</v>
      </c>
      <c r="J691">
        <v>508</v>
      </c>
      <c r="K691" t="s">
        <v>40</v>
      </c>
    </row>
    <row r="692" spans="1:11" x14ac:dyDescent="0.2">
      <c r="A692" s="1">
        <v>45299</v>
      </c>
      <c r="B692" t="s">
        <v>32</v>
      </c>
      <c r="C692" t="s">
        <v>20</v>
      </c>
      <c r="D692" t="s">
        <v>18</v>
      </c>
      <c r="E692">
        <v>1083</v>
      </c>
      <c r="F692">
        <v>1.2</v>
      </c>
      <c r="G692">
        <v>1</v>
      </c>
      <c r="H692">
        <v>1299.5999999999999</v>
      </c>
      <c r="I692">
        <v>1083</v>
      </c>
      <c r="J692">
        <v>216.599999999999</v>
      </c>
      <c r="K692" t="s">
        <v>35</v>
      </c>
    </row>
    <row r="693" spans="1:11" x14ac:dyDescent="0.2">
      <c r="A693" s="1">
        <v>45413</v>
      </c>
      <c r="B693" t="s">
        <v>27</v>
      </c>
      <c r="C693" t="s">
        <v>20</v>
      </c>
      <c r="D693" t="s">
        <v>18</v>
      </c>
      <c r="E693">
        <v>5915</v>
      </c>
      <c r="F693">
        <v>1.2</v>
      </c>
      <c r="G693">
        <v>1</v>
      </c>
      <c r="H693">
        <v>7098</v>
      </c>
      <c r="I693">
        <v>5915</v>
      </c>
      <c r="J693">
        <v>1183</v>
      </c>
      <c r="K693" t="s">
        <v>39</v>
      </c>
    </row>
    <row r="694" spans="1:11" x14ac:dyDescent="0.2">
      <c r="A694" s="1">
        <v>45639</v>
      </c>
      <c r="B694" t="s">
        <v>30</v>
      </c>
      <c r="C694" t="s">
        <v>29</v>
      </c>
      <c r="D694" t="s">
        <v>12</v>
      </c>
      <c r="E694">
        <v>4831</v>
      </c>
      <c r="F694">
        <v>1.25</v>
      </c>
      <c r="G694">
        <v>1.05</v>
      </c>
      <c r="H694">
        <v>6038.75</v>
      </c>
      <c r="I694">
        <v>5072.55</v>
      </c>
      <c r="J694">
        <v>966.19999999999902</v>
      </c>
      <c r="K694" t="s">
        <v>46</v>
      </c>
    </row>
    <row r="695" spans="1:11" x14ac:dyDescent="0.2">
      <c r="A695" s="1">
        <v>45455</v>
      </c>
      <c r="B695" t="s">
        <v>31</v>
      </c>
      <c r="C695" t="s">
        <v>17</v>
      </c>
      <c r="D695" t="s">
        <v>12</v>
      </c>
      <c r="E695">
        <v>2603</v>
      </c>
      <c r="F695">
        <v>1.25</v>
      </c>
      <c r="G695">
        <v>1.05</v>
      </c>
      <c r="H695">
        <v>3253.75</v>
      </c>
      <c r="I695">
        <v>2733.15</v>
      </c>
      <c r="J695">
        <v>520.599999999999</v>
      </c>
      <c r="K695" t="s">
        <v>40</v>
      </c>
    </row>
    <row r="696" spans="1:11" x14ac:dyDescent="0.2">
      <c r="A696" s="1">
        <v>45381</v>
      </c>
      <c r="B696" t="s">
        <v>25</v>
      </c>
      <c r="C696" t="s">
        <v>23</v>
      </c>
      <c r="D696" t="s">
        <v>12</v>
      </c>
      <c r="E696">
        <v>2442</v>
      </c>
      <c r="F696">
        <v>1.25</v>
      </c>
      <c r="G696">
        <v>1.05</v>
      </c>
      <c r="H696">
        <v>3052.5</v>
      </c>
      <c r="I696">
        <v>2564.1</v>
      </c>
      <c r="J696">
        <v>488.4</v>
      </c>
      <c r="K696" t="s">
        <v>37</v>
      </c>
    </row>
    <row r="697" spans="1:11" x14ac:dyDescent="0.2">
      <c r="A697" s="1">
        <v>45427</v>
      </c>
      <c r="B697" t="s">
        <v>30</v>
      </c>
      <c r="C697" t="s">
        <v>11</v>
      </c>
      <c r="D697" t="s">
        <v>12</v>
      </c>
      <c r="E697">
        <v>4955</v>
      </c>
      <c r="F697">
        <v>1.25</v>
      </c>
      <c r="G697">
        <v>1.05</v>
      </c>
      <c r="H697">
        <v>6193.75</v>
      </c>
      <c r="I697">
        <v>5202.75</v>
      </c>
      <c r="J697">
        <v>991</v>
      </c>
      <c r="K697" t="s">
        <v>39</v>
      </c>
    </row>
    <row r="698" spans="1:11" x14ac:dyDescent="0.2">
      <c r="A698" s="1">
        <v>45477</v>
      </c>
      <c r="B698" t="s">
        <v>10</v>
      </c>
      <c r="C698" t="s">
        <v>20</v>
      </c>
      <c r="D698" t="s">
        <v>18</v>
      </c>
      <c r="E698">
        <v>609</v>
      </c>
      <c r="F698">
        <v>1.2</v>
      </c>
      <c r="G698">
        <v>1</v>
      </c>
      <c r="H698">
        <v>730.8</v>
      </c>
      <c r="I698">
        <v>609</v>
      </c>
      <c r="J698">
        <v>121.799999999999</v>
      </c>
      <c r="K698" t="s">
        <v>41</v>
      </c>
    </row>
    <row r="699" spans="1:11" x14ac:dyDescent="0.2">
      <c r="A699" s="1">
        <v>45607</v>
      </c>
      <c r="B699" t="s">
        <v>31</v>
      </c>
      <c r="C699" t="s">
        <v>11</v>
      </c>
      <c r="D699" t="s">
        <v>18</v>
      </c>
      <c r="E699">
        <v>691</v>
      </c>
      <c r="F699">
        <v>1.2</v>
      </c>
      <c r="G699">
        <v>1</v>
      </c>
      <c r="H699">
        <v>829.19999999999902</v>
      </c>
      <c r="I699">
        <v>691</v>
      </c>
      <c r="J699">
        <v>138.19999999999899</v>
      </c>
      <c r="K699" t="s">
        <v>45</v>
      </c>
    </row>
    <row r="700" spans="1:11" x14ac:dyDescent="0.2">
      <c r="A700" s="1">
        <v>45469</v>
      </c>
      <c r="B700" t="s">
        <v>26</v>
      </c>
      <c r="C700" t="s">
        <v>29</v>
      </c>
      <c r="D700" t="s">
        <v>12</v>
      </c>
      <c r="E700">
        <v>1403</v>
      </c>
      <c r="F700">
        <v>1.25</v>
      </c>
      <c r="G700">
        <v>1.05</v>
      </c>
      <c r="H700">
        <v>1753.75</v>
      </c>
      <c r="I700">
        <v>1473.15</v>
      </c>
      <c r="J700">
        <v>280.599999999999</v>
      </c>
      <c r="K700" t="s">
        <v>40</v>
      </c>
    </row>
    <row r="701" spans="1:11" x14ac:dyDescent="0.2">
      <c r="A701" s="1">
        <v>45319</v>
      </c>
      <c r="B701" t="s">
        <v>32</v>
      </c>
      <c r="C701" t="s">
        <v>11</v>
      </c>
      <c r="D701" t="s">
        <v>12</v>
      </c>
      <c r="E701">
        <v>5712</v>
      </c>
      <c r="F701">
        <v>1.25</v>
      </c>
      <c r="G701">
        <v>1.05</v>
      </c>
      <c r="H701">
        <v>7140</v>
      </c>
      <c r="I701">
        <v>5997.6</v>
      </c>
      <c r="J701">
        <v>1142.3999999999901</v>
      </c>
      <c r="K701" t="s">
        <v>35</v>
      </c>
    </row>
    <row r="702" spans="1:11" x14ac:dyDescent="0.2">
      <c r="A702" s="1">
        <v>45511</v>
      </c>
      <c r="B702" t="s">
        <v>31</v>
      </c>
      <c r="C702" t="s">
        <v>29</v>
      </c>
      <c r="D702" t="s">
        <v>12</v>
      </c>
      <c r="E702">
        <v>1361</v>
      </c>
      <c r="F702">
        <v>1.25</v>
      </c>
      <c r="G702">
        <v>1.05</v>
      </c>
      <c r="H702">
        <v>1701.25</v>
      </c>
      <c r="I702">
        <v>1429.05</v>
      </c>
      <c r="J702">
        <v>272.2</v>
      </c>
      <c r="K702" t="s">
        <v>42</v>
      </c>
    </row>
    <row r="703" spans="1:11" x14ac:dyDescent="0.2">
      <c r="A703" s="1">
        <v>45648</v>
      </c>
      <c r="B703" t="s">
        <v>10</v>
      </c>
      <c r="C703" t="s">
        <v>11</v>
      </c>
      <c r="D703" t="s">
        <v>12</v>
      </c>
      <c r="E703">
        <v>1583</v>
      </c>
      <c r="F703">
        <v>1.25</v>
      </c>
      <c r="G703">
        <v>1.05</v>
      </c>
      <c r="H703">
        <v>1978.75</v>
      </c>
      <c r="I703">
        <v>1662.15</v>
      </c>
      <c r="J703">
        <v>316.599999999999</v>
      </c>
      <c r="K703" t="s">
        <v>46</v>
      </c>
    </row>
    <row r="704" spans="1:11" x14ac:dyDescent="0.2">
      <c r="A704" s="1">
        <v>45332</v>
      </c>
      <c r="B704" t="s">
        <v>28</v>
      </c>
      <c r="C704" t="s">
        <v>23</v>
      </c>
      <c r="D704" t="s">
        <v>18</v>
      </c>
      <c r="E704">
        <v>1149</v>
      </c>
      <c r="F704">
        <v>1.2</v>
      </c>
      <c r="G704">
        <v>1</v>
      </c>
      <c r="H704">
        <v>1378.8</v>
      </c>
      <c r="I704">
        <v>1149</v>
      </c>
      <c r="J704">
        <v>229.79999999999899</v>
      </c>
      <c r="K704" t="s">
        <v>36</v>
      </c>
    </row>
    <row r="705" spans="1:11" x14ac:dyDescent="0.2">
      <c r="A705" s="1">
        <v>45519</v>
      </c>
      <c r="B705" t="s">
        <v>13</v>
      </c>
      <c r="C705" t="s">
        <v>23</v>
      </c>
      <c r="D705" t="s">
        <v>14</v>
      </c>
      <c r="E705">
        <v>4634</v>
      </c>
      <c r="F705">
        <v>0.9</v>
      </c>
      <c r="G705">
        <v>0.7</v>
      </c>
      <c r="H705">
        <v>4170.6000000000004</v>
      </c>
      <c r="I705">
        <v>3243.7999999999902</v>
      </c>
      <c r="J705">
        <v>926.8</v>
      </c>
      <c r="K705" t="s">
        <v>42</v>
      </c>
    </row>
    <row r="706" spans="1:11" x14ac:dyDescent="0.2">
      <c r="A706" s="1">
        <v>45483</v>
      </c>
      <c r="B706" t="s">
        <v>27</v>
      </c>
      <c r="C706" t="s">
        <v>23</v>
      </c>
      <c r="D706" t="s">
        <v>18</v>
      </c>
      <c r="E706">
        <v>4111</v>
      </c>
      <c r="F706">
        <v>1.2</v>
      </c>
      <c r="G706">
        <v>1</v>
      </c>
      <c r="H706">
        <v>4933.2</v>
      </c>
      <c r="I706">
        <v>4111</v>
      </c>
      <c r="J706">
        <v>822.19999999999902</v>
      </c>
      <c r="K706" t="s">
        <v>41</v>
      </c>
    </row>
    <row r="707" spans="1:11" x14ac:dyDescent="0.2">
      <c r="A707" s="1">
        <v>45436</v>
      </c>
      <c r="B707" t="s">
        <v>21</v>
      </c>
      <c r="C707" t="s">
        <v>23</v>
      </c>
      <c r="D707" t="s">
        <v>12</v>
      </c>
      <c r="E707">
        <v>1136</v>
      </c>
      <c r="F707">
        <v>1.25</v>
      </c>
      <c r="G707">
        <v>1.05</v>
      </c>
      <c r="H707">
        <v>1420</v>
      </c>
      <c r="I707">
        <v>1192.8</v>
      </c>
      <c r="J707">
        <v>227.2</v>
      </c>
      <c r="K707" t="s">
        <v>39</v>
      </c>
    </row>
    <row r="708" spans="1:11" x14ac:dyDescent="0.2">
      <c r="A708" s="1">
        <v>45492</v>
      </c>
      <c r="B708" t="s">
        <v>32</v>
      </c>
      <c r="C708" t="s">
        <v>23</v>
      </c>
      <c r="D708" t="s">
        <v>14</v>
      </c>
      <c r="E708">
        <v>1536</v>
      </c>
      <c r="F708">
        <v>0.9</v>
      </c>
      <c r="G708">
        <v>0.7</v>
      </c>
      <c r="H708">
        <v>1382.4</v>
      </c>
      <c r="I708">
        <v>1075.19999999999</v>
      </c>
      <c r="J708">
        <v>307.2</v>
      </c>
      <c r="K708" t="s">
        <v>41</v>
      </c>
    </row>
    <row r="709" spans="1:11" x14ac:dyDescent="0.2">
      <c r="A709" s="1">
        <v>45503</v>
      </c>
      <c r="B709" t="s">
        <v>21</v>
      </c>
      <c r="C709" t="s">
        <v>23</v>
      </c>
      <c r="D709" t="s">
        <v>18</v>
      </c>
      <c r="E709">
        <v>4631</v>
      </c>
      <c r="F709">
        <v>1.2</v>
      </c>
      <c r="G709">
        <v>1</v>
      </c>
      <c r="H709">
        <v>5557.2</v>
      </c>
      <c r="I709">
        <v>4631</v>
      </c>
      <c r="J709">
        <v>926.19999999999902</v>
      </c>
      <c r="K709" t="s">
        <v>41</v>
      </c>
    </row>
    <row r="710" spans="1:11" x14ac:dyDescent="0.2">
      <c r="A710" s="1">
        <v>45511</v>
      </c>
      <c r="B710" t="s">
        <v>19</v>
      </c>
      <c r="C710" t="s">
        <v>29</v>
      </c>
      <c r="D710" t="s">
        <v>18</v>
      </c>
      <c r="E710">
        <v>2648</v>
      </c>
      <c r="F710">
        <v>1.2</v>
      </c>
      <c r="G710">
        <v>1</v>
      </c>
      <c r="H710">
        <v>3177.6</v>
      </c>
      <c r="I710">
        <v>2648</v>
      </c>
      <c r="J710">
        <v>529.599999999999</v>
      </c>
      <c r="K710" t="s">
        <v>42</v>
      </c>
    </row>
    <row r="711" spans="1:11" x14ac:dyDescent="0.2">
      <c r="A711" s="1">
        <v>45531</v>
      </c>
      <c r="B711" t="s">
        <v>15</v>
      </c>
      <c r="C711" t="s">
        <v>20</v>
      </c>
      <c r="D711" t="s">
        <v>12</v>
      </c>
      <c r="E711">
        <v>4365</v>
      </c>
      <c r="F711">
        <v>1.25</v>
      </c>
      <c r="G711">
        <v>1.05</v>
      </c>
      <c r="H711">
        <v>5456.25</v>
      </c>
      <c r="I711">
        <v>4583.25</v>
      </c>
      <c r="J711">
        <v>873</v>
      </c>
      <c r="K711" t="s">
        <v>42</v>
      </c>
    </row>
    <row r="712" spans="1:11" x14ac:dyDescent="0.2">
      <c r="A712" s="1">
        <v>45337</v>
      </c>
      <c r="B712" t="s">
        <v>32</v>
      </c>
      <c r="C712" t="s">
        <v>11</v>
      </c>
      <c r="D712" t="s">
        <v>12</v>
      </c>
      <c r="E712">
        <v>3657</v>
      </c>
      <c r="F712">
        <v>1.25</v>
      </c>
      <c r="G712">
        <v>1.05</v>
      </c>
      <c r="H712">
        <v>4571.25</v>
      </c>
      <c r="I712">
        <v>3839.85</v>
      </c>
      <c r="J712">
        <v>731.39999999999895</v>
      </c>
      <c r="K712" t="s">
        <v>36</v>
      </c>
    </row>
    <row r="713" spans="1:11" x14ac:dyDescent="0.2">
      <c r="A713" s="1">
        <v>45326</v>
      </c>
      <c r="B713" t="s">
        <v>25</v>
      </c>
      <c r="C713" t="s">
        <v>23</v>
      </c>
      <c r="D713" t="s">
        <v>12</v>
      </c>
      <c r="E713">
        <v>4087</v>
      </c>
      <c r="F713">
        <v>1.25</v>
      </c>
      <c r="G713">
        <v>1.05</v>
      </c>
      <c r="H713">
        <v>5108.75</v>
      </c>
      <c r="I713">
        <v>4291.3500000000004</v>
      </c>
      <c r="J713">
        <v>817.39999999999895</v>
      </c>
      <c r="K713" t="s">
        <v>36</v>
      </c>
    </row>
    <row r="714" spans="1:11" x14ac:dyDescent="0.2">
      <c r="A714" s="1">
        <v>45544</v>
      </c>
      <c r="B714" t="s">
        <v>32</v>
      </c>
      <c r="C714" t="s">
        <v>29</v>
      </c>
      <c r="D714" t="s">
        <v>12</v>
      </c>
      <c r="E714">
        <v>3794</v>
      </c>
      <c r="F714">
        <v>1.25</v>
      </c>
      <c r="G714">
        <v>1.05</v>
      </c>
      <c r="H714">
        <v>4742.5</v>
      </c>
      <c r="I714">
        <v>3983.7</v>
      </c>
      <c r="J714">
        <v>758.79999999999905</v>
      </c>
      <c r="K714" t="s">
        <v>43</v>
      </c>
    </row>
    <row r="715" spans="1:11" x14ac:dyDescent="0.2">
      <c r="A715" s="1">
        <v>45373</v>
      </c>
      <c r="B715" t="s">
        <v>24</v>
      </c>
      <c r="C715" t="s">
        <v>29</v>
      </c>
      <c r="D715" t="s">
        <v>12</v>
      </c>
      <c r="E715">
        <v>5957</v>
      </c>
      <c r="F715">
        <v>1.25</v>
      </c>
      <c r="G715">
        <v>1.05</v>
      </c>
      <c r="H715">
        <v>7446.25</v>
      </c>
      <c r="I715">
        <v>6254.85</v>
      </c>
      <c r="J715">
        <v>1191.3999999999901</v>
      </c>
      <c r="K715" t="s">
        <v>37</v>
      </c>
    </row>
    <row r="716" spans="1:11" x14ac:dyDescent="0.2">
      <c r="A716" s="1">
        <v>45547</v>
      </c>
      <c r="B716" t="s">
        <v>13</v>
      </c>
      <c r="C716" t="s">
        <v>29</v>
      </c>
      <c r="D716" t="s">
        <v>12</v>
      </c>
      <c r="E716">
        <v>4761</v>
      </c>
      <c r="F716">
        <v>1.25</v>
      </c>
      <c r="G716">
        <v>1.05</v>
      </c>
      <c r="H716">
        <v>5951.25</v>
      </c>
      <c r="I716">
        <v>4999.05</v>
      </c>
      <c r="J716">
        <v>952.19999999999902</v>
      </c>
      <c r="K716" t="s">
        <v>43</v>
      </c>
    </row>
    <row r="717" spans="1:11" x14ac:dyDescent="0.2">
      <c r="A717" s="1">
        <v>45488</v>
      </c>
      <c r="B717" t="s">
        <v>24</v>
      </c>
      <c r="C717" t="s">
        <v>20</v>
      </c>
      <c r="D717" t="s">
        <v>12</v>
      </c>
      <c r="E717">
        <v>2930</v>
      </c>
      <c r="F717">
        <v>1.25</v>
      </c>
      <c r="G717">
        <v>1.05</v>
      </c>
      <c r="H717">
        <v>3662.5</v>
      </c>
      <c r="I717">
        <v>3076.5</v>
      </c>
      <c r="J717">
        <v>586</v>
      </c>
      <c r="K717" t="s">
        <v>41</v>
      </c>
    </row>
    <row r="718" spans="1:11" x14ac:dyDescent="0.2">
      <c r="A718" s="1">
        <v>45594</v>
      </c>
      <c r="B718" t="s">
        <v>32</v>
      </c>
      <c r="C718" t="s">
        <v>11</v>
      </c>
      <c r="D718" t="s">
        <v>18</v>
      </c>
      <c r="E718">
        <v>2379</v>
      </c>
      <c r="F718">
        <v>1.2</v>
      </c>
      <c r="G718">
        <v>1</v>
      </c>
      <c r="H718">
        <v>2854.7999999999902</v>
      </c>
      <c r="I718">
        <v>2379</v>
      </c>
      <c r="J718">
        <v>475.79999999999899</v>
      </c>
      <c r="K718" t="s">
        <v>44</v>
      </c>
    </row>
    <row r="719" spans="1:11" x14ac:dyDescent="0.2">
      <c r="A719" s="1">
        <v>45301</v>
      </c>
      <c r="B719" t="s">
        <v>27</v>
      </c>
      <c r="C719" t="s">
        <v>20</v>
      </c>
      <c r="D719" t="s">
        <v>12</v>
      </c>
      <c r="E719">
        <v>4466</v>
      </c>
      <c r="F719">
        <v>1.25</v>
      </c>
      <c r="G719">
        <v>1.05</v>
      </c>
      <c r="H719">
        <v>5582.5</v>
      </c>
      <c r="I719">
        <v>4689.3</v>
      </c>
      <c r="J719">
        <v>893.19999999999902</v>
      </c>
      <c r="K719" t="s">
        <v>35</v>
      </c>
    </row>
    <row r="720" spans="1:11" x14ac:dyDescent="0.2">
      <c r="A720" s="1">
        <v>45603</v>
      </c>
      <c r="B720" t="s">
        <v>31</v>
      </c>
      <c r="C720" t="s">
        <v>17</v>
      </c>
      <c r="D720" t="s">
        <v>12</v>
      </c>
      <c r="E720">
        <v>4213</v>
      </c>
      <c r="F720">
        <v>1.25</v>
      </c>
      <c r="G720">
        <v>1.05</v>
      </c>
      <c r="H720">
        <v>5266.25</v>
      </c>
      <c r="I720">
        <v>4423.6499999999996</v>
      </c>
      <c r="J720">
        <v>842.599999999999</v>
      </c>
      <c r="K720" t="s">
        <v>45</v>
      </c>
    </row>
    <row r="721" spans="1:11" x14ac:dyDescent="0.2">
      <c r="A721" s="1">
        <v>45577</v>
      </c>
      <c r="B721" t="s">
        <v>21</v>
      </c>
      <c r="C721" t="s">
        <v>29</v>
      </c>
      <c r="D721" t="s">
        <v>14</v>
      </c>
      <c r="E721">
        <v>4626</v>
      </c>
      <c r="F721">
        <v>0.9</v>
      </c>
      <c r="G721">
        <v>0.7</v>
      </c>
      <c r="H721">
        <v>4163.3999999999996</v>
      </c>
      <c r="I721">
        <v>3238.2</v>
      </c>
      <c r="J721">
        <v>925.2</v>
      </c>
      <c r="K721" t="s">
        <v>44</v>
      </c>
    </row>
    <row r="722" spans="1:11" x14ac:dyDescent="0.2">
      <c r="A722" s="1">
        <v>45533</v>
      </c>
      <c r="B722" t="s">
        <v>27</v>
      </c>
      <c r="C722" t="s">
        <v>17</v>
      </c>
      <c r="D722" t="s">
        <v>14</v>
      </c>
      <c r="E722">
        <v>4606</v>
      </c>
      <c r="F722">
        <v>0.9</v>
      </c>
      <c r="G722">
        <v>0.7</v>
      </c>
      <c r="H722">
        <v>4145.3999999999996</v>
      </c>
      <c r="I722">
        <v>3224.2</v>
      </c>
      <c r="J722">
        <v>921.2</v>
      </c>
      <c r="K722" t="s">
        <v>42</v>
      </c>
    </row>
    <row r="723" spans="1:11" x14ac:dyDescent="0.2">
      <c r="A723" s="1">
        <v>45542</v>
      </c>
      <c r="B723" t="s">
        <v>32</v>
      </c>
      <c r="C723" t="s">
        <v>23</v>
      </c>
      <c r="D723" t="s">
        <v>18</v>
      </c>
      <c r="E723">
        <v>2511</v>
      </c>
      <c r="F723">
        <v>1.2</v>
      </c>
      <c r="G723">
        <v>1</v>
      </c>
      <c r="H723">
        <v>3013.2</v>
      </c>
      <c r="I723">
        <v>2511</v>
      </c>
      <c r="J723">
        <v>502.19999999999902</v>
      </c>
      <c r="K723" t="s">
        <v>43</v>
      </c>
    </row>
    <row r="724" spans="1:11" x14ac:dyDescent="0.2">
      <c r="A724" s="1">
        <v>45656</v>
      </c>
      <c r="B724" t="s">
        <v>10</v>
      </c>
      <c r="C724" t="s">
        <v>23</v>
      </c>
      <c r="D724" t="s">
        <v>14</v>
      </c>
      <c r="E724">
        <v>3873</v>
      </c>
      <c r="F724">
        <v>0.9</v>
      </c>
      <c r="G724">
        <v>0.7</v>
      </c>
      <c r="H724">
        <v>3485.7</v>
      </c>
      <c r="I724">
        <v>2711.1</v>
      </c>
      <c r="J724">
        <v>774.6</v>
      </c>
      <c r="K724" t="s">
        <v>46</v>
      </c>
    </row>
    <row r="725" spans="1:11" x14ac:dyDescent="0.2">
      <c r="A725" s="1">
        <v>45296</v>
      </c>
      <c r="B725" t="s">
        <v>31</v>
      </c>
      <c r="C725" t="s">
        <v>20</v>
      </c>
      <c r="D725" t="s">
        <v>18</v>
      </c>
      <c r="E725">
        <v>2643</v>
      </c>
      <c r="F725">
        <v>1.2</v>
      </c>
      <c r="G725">
        <v>1</v>
      </c>
      <c r="H725">
        <v>3171.6</v>
      </c>
      <c r="I725">
        <v>2643</v>
      </c>
      <c r="J725">
        <v>528.599999999999</v>
      </c>
      <c r="K725" t="s">
        <v>35</v>
      </c>
    </row>
    <row r="726" spans="1:11" x14ac:dyDescent="0.2">
      <c r="A726" s="1">
        <v>45410</v>
      </c>
      <c r="B726" t="s">
        <v>10</v>
      </c>
      <c r="C726" t="s">
        <v>11</v>
      </c>
      <c r="D726" t="s">
        <v>14</v>
      </c>
      <c r="E726">
        <v>3000</v>
      </c>
      <c r="F726">
        <v>0.9</v>
      </c>
      <c r="G726">
        <v>0.7</v>
      </c>
      <c r="H726">
        <v>2700</v>
      </c>
      <c r="I726">
        <v>2100</v>
      </c>
      <c r="J726">
        <v>600</v>
      </c>
      <c r="K726" t="s">
        <v>38</v>
      </c>
    </row>
    <row r="727" spans="1:11" x14ac:dyDescent="0.2">
      <c r="A727" s="1">
        <v>45580</v>
      </c>
      <c r="B727" t="s">
        <v>21</v>
      </c>
      <c r="C727" t="s">
        <v>17</v>
      </c>
      <c r="D727" t="s">
        <v>12</v>
      </c>
      <c r="E727">
        <v>5081</v>
      </c>
      <c r="F727">
        <v>1.25</v>
      </c>
      <c r="G727">
        <v>1.05</v>
      </c>
      <c r="H727">
        <v>6351.25</v>
      </c>
      <c r="I727">
        <v>5335.05</v>
      </c>
      <c r="J727">
        <v>1016.19999999999</v>
      </c>
      <c r="K727" t="s">
        <v>44</v>
      </c>
    </row>
    <row r="728" spans="1:11" x14ac:dyDescent="0.2">
      <c r="A728" s="1">
        <v>45356</v>
      </c>
      <c r="B728" t="s">
        <v>31</v>
      </c>
      <c r="C728" t="s">
        <v>11</v>
      </c>
      <c r="D728" t="s">
        <v>12</v>
      </c>
      <c r="E728">
        <v>1789</v>
      </c>
      <c r="F728">
        <v>1.25</v>
      </c>
      <c r="G728">
        <v>1.05</v>
      </c>
      <c r="H728">
        <v>2236.25</v>
      </c>
      <c r="I728">
        <v>1878.45</v>
      </c>
      <c r="J728">
        <v>357.79999999999899</v>
      </c>
      <c r="K728" t="s">
        <v>37</v>
      </c>
    </row>
    <row r="729" spans="1:11" x14ac:dyDescent="0.2">
      <c r="A729" s="1">
        <v>45437</v>
      </c>
      <c r="B729" t="s">
        <v>25</v>
      </c>
      <c r="C729" t="s">
        <v>20</v>
      </c>
      <c r="D729" t="s">
        <v>12</v>
      </c>
      <c r="E729">
        <v>1947</v>
      </c>
      <c r="F729">
        <v>1.25</v>
      </c>
      <c r="G729">
        <v>1.05</v>
      </c>
      <c r="H729">
        <v>2433.75</v>
      </c>
      <c r="I729">
        <v>2044.35</v>
      </c>
      <c r="J729">
        <v>389.39999999999901</v>
      </c>
      <c r="K729" t="s">
        <v>39</v>
      </c>
    </row>
    <row r="730" spans="1:11" x14ac:dyDescent="0.2">
      <c r="A730" s="1">
        <v>45515</v>
      </c>
      <c r="B730" t="s">
        <v>13</v>
      </c>
      <c r="C730" t="s">
        <v>23</v>
      </c>
      <c r="D730" t="s">
        <v>12</v>
      </c>
      <c r="E730">
        <v>3699</v>
      </c>
      <c r="F730">
        <v>1.25</v>
      </c>
      <c r="G730">
        <v>1.05</v>
      </c>
      <c r="H730">
        <v>4623.75</v>
      </c>
      <c r="I730">
        <v>3883.95</v>
      </c>
      <c r="J730">
        <v>739.79999999999905</v>
      </c>
      <c r="K730" t="s">
        <v>42</v>
      </c>
    </row>
    <row r="731" spans="1:11" x14ac:dyDescent="0.2">
      <c r="A731" s="1">
        <v>45530</v>
      </c>
      <c r="B731" t="s">
        <v>30</v>
      </c>
      <c r="C731" t="s">
        <v>11</v>
      </c>
      <c r="D731" t="s">
        <v>12</v>
      </c>
      <c r="E731">
        <v>2443</v>
      </c>
      <c r="F731">
        <v>1.25</v>
      </c>
      <c r="G731">
        <v>1.05</v>
      </c>
      <c r="H731">
        <v>3053.75</v>
      </c>
      <c r="I731">
        <v>2565.15</v>
      </c>
      <c r="J731">
        <v>488.599999999999</v>
      </c>
      <c r="K731" t="s">
        <v>42</v>
      </c>
    </row>
    <row r="732" spans="1:11" x14ac:dyDescent="0.2">
      <c r="A732" s="1">
        <v>45468</v>
      </c>
      <c r="B732" t="s">
        <v>16</v>
      </c>
      <c r="C732" t="s">
        <v>11</v>
      </c>
      <c r="D732" t="s">
        <v>18</v>
      </c>
      <c r="E732">
        <v>3683</v>
      </c>
      <c r="F732">
        <v>1.2</v>
      </c>
      <c r="G732">
        <v>1</v>
      </c>
      <c r="H732">
        <v>4419.5999999999904</v>
      </c>
      <c r="I732">
        <v>3683</v>
      </c>
      <c r="J732">
        <v>736.599999999999</v>
      </c>
      <c r="K732" t="s">
        <v>40</v>
      </c>
    </row>
    <row r="733" spans="1:11" x14ac:dyDescent="0.2">
      <c r="A733" s="1">
        <v>45558</v>
      </c>
      <c r="B733" t="s">
        <v>26</v>
      </c>
      <c r="C733" t="s">
        <v>23</v>
      </c>
      <c r="D733" t="s">
        <v>18</v>
      </c>
      <c r="E733">
        <v>5962</v>
      </c>
      <c r="F733">
        <v>1.2</v>
      </c>
      <c r="G733">
        <v>1</v>
      </c>
      <c r="H733">
        <v>7154.4</v>
      </c>
      <c r="I733">
        <v>5962</v>
      </c>
      <c r="J733">
        <v>1192.3999999999901</v>
      </c>
      <c r="K733" t="s">
        <v>43</v>
      </c>
    </row>
    <row r="734" spans="1:11" x14ac:dyDescent="0.2">
      <c r="A734" s="1">
        <v>45632</v>
      </c>
      <c r="B734" t="s">
        <v>27</v>
      </c>
      <c r="C734" t="s">
        <v>17</v>
      </c>
      <c r="D734" t="s">
        <v>18</v>
      </c>
      <c r="E734">
        <v>3716</v>
      </c>
      <c r="F734">
        <v>1.2</v>
      </c>
      <c r="G734">
        <v>1</v>
      </c>
      <c r="H734">
        <v>4459.2</v>
      </c>
      <c r="I734">
        <v>3716</v>
      </c>
      <c r="J734">
        <v>743.19999999999902</v>
      </c>
      <c r="K734" t="s">
        <v>46</v>
      </c>
    </row>
    <row r="735" spans="1:11" x14ac:dyDescent="0.2">
      <c r="A735" s="1">
        <v>45573</v>
      </c>
      <c r="B735" t="s">
        <v>15</v>
      </c>
      <c r="C735" t="s">
        <v>23</v>
      </c>
      <c r="D735" t="s">
        <v>12</v>
      </c>
      <c r="E735">
        <v>3636</v>
      </c>
      <c r="F735">
        <v>1.25</v>
      </c>
      <c r="G735">
        <v>1.05</v>
      </c>
      <c r="H735">
        <v>4545</v>
      </c>
      <c r="I735">
        <v>3817.8</v>
      </c>
      <c r="J735">
        <v>727.19999999999902</v>
      </c>
      <c r="K735" t="s">
        <v>44</v>
      </c>
    </row>
    <row r="736" spans="1:11" x14ac:dyDescent="0.2">
      <c r="A736" s="1">
        <v>45354</v>
      </c>
      <c r="B736" t="s">
        <v>27</v>
      </c>
      <c r="C736" t="s">
        <v>11</v>
      </c>
      <c r="D736" t="s">
        <v>18</v>
      </c>
      <c r="E736">
        <v>3818</v>
      </c>
      <c r="F736">
        <v>1.2</v>
      </c>
      <c r="G736">
        <v>1</v>
      </c>
      <c r="H736">
        <v>4581.5999999999904</v>
      </c>
      <c r="I736">
        <v>3818</v>
      </c>
      <c r="J736">
        <v>763.599999999999</v>
      </c>
      <c r="K736" t="s">
        <v>37</v>
      </c>
    </row>
    <row r="737" spans="1:11" x14ac:dyDescent="0.2">
      <c r="A737" s="1">
        <v>45508</v>
      </c>
      <c r="B737" t="s">
        <v>16</v>
      </c>
      <c r="C737" t="s">
        <v>17</v>
      </c>
      <c r="D737" t="s">
        <v>18</v>
      </c>
      <c r="E737">
        <v>3282</v>
      </c>
      <c r="F737">
        <v>1.2</v>
      </c>
      <c r="G737">
        <v>1</v>
      </c>
      <c r="H737">
        <v>3938.3999999999901</v>
      </c>
      <c r="I737">
        <v>3282</v>
      </c>
      <c r="J737">
        <v>656.39999999999895</v>
      </c>
      <c r="K737" t="s">
        <v>42</v>
      </c>
    </row>
    <row r="738" spans="1:11" x14ac:dyDescent="0.2">
      <c r="A738" s="1">
        <v>45633</v>
      </c>
      <c r="B738" t="s">
        <v>30</v>
      </c>
      <c r="C738" t="s">
        <v>17</v>
      </c>
      <c r="D738" t="s">
        <v>12</v>
      </c>
      <c r="E738">
        <v>1490</v>
      </c>
      <c r="F738">
        <v>1.25</v>
      </c>
      <c r="G738">
        <v>1.05</v>
      </c>
      <c r="H738">
        <v>1862.5</v>
      </c>
      <c r="I738">
        <v>1564.5</v>
      </c>
      <c r="J738">
        <v>298</v>
      </c>
      <c r="K738" t="s">
        <v>46</v>
      </c>
    </row>
    <row r="739" spans="1:11" x14ac:dyDescent="0.2">
      <c r="A739" s="1">
        <v>45606</v>
      </c>
      <c r="B739" t="s">
        <v>22</v>
      </c>
      <c r="C739" t="s">
        <v>23</v>
      </c>
      <c r="D739" t="s">
        <v>18</v>
      </c>
      <c r="E739">
        <v>5420</v>
      </c>
      <c r="F739">
        <v>1.2</v>
      </c>
      <c r="G739">
        <v>1</v>
      </c>
      <c r="H739">
        <v>6504</v>
      </c>
      <c r="I739">
        <v>5420</v>
      </c>
      <c r="J739">
        <v>1084</v>
      </c>
      <c r="K739" t="s">
        <v>45</v>
      </c>
    </row>
    <row r="740" spans="1:11" x14ac:dyDescent="0.2">
      <c r="A740" s="1">
        <v>45574</v>
      </c>
      <c r="B740" t="s">
        <v>28</v>
      </c>
      <c r="C740" t="s">
        <v>11</v>
      </c>
      <c r="D740" t="s">
        <v>12</v>
      </c>
      <c r="E740">
        <v>2653</v>
      </c>
      <c r="F740">
        <v>1.25</v>
      </c>
      <c r="G740">
        <v>1.05</v>
      </c>
      <c r="H740">
        <v>3316.25</v>
      </c>
      <c r="I740">
        <v>2785.65</v>
      </c>
      <c r="J740">
        <v>530.599999999999</v>
      </c>
      <c r="K740" t="s">
        <v>44</v>
      </c>
    </row>
    <row r="741" spans="1:11" x14ac:dyDescent="0.2">
      <c r="A741" s="1">
        <v>45468</v>
      </c>
      <c r="B741" t="s">
        <v>25</v>
      </c>
      <c r="C741" t="s">
        <v>20</v>
      </c>
      <c r="D741" t="s">
        <v>12</v>
      </c>
      <c r="E741">
        <v>725</v>
      </c>
      <c r="F741">
        <v>1.25</v>
      </c>
      <c r="G741">
        <v>1.05</v>
      </c>
      <c r="H741">
        <v>906.25</v>
      </c>
      <c r="I741">
        <v>761.25</v>
      </c>
      <c r="J741">
        <v>145</v>
      </c>
      <c r="K741" t="s">
        <v>40</v>
      </c>
    </row>
    <row r="742" spans="1:11" x14ac:dyDescent="0.2">
      <c r="A742" s="1">
        <v>45389</v>
      </c>
      <c r="B742" t="s">
        <v>10</v>
      </c>
      <c r="C742" t="s">
        <v>11</v>
      </c>
      <c r="D742" t="s">
        <v>14</v>
      </c>
      <c r="E742">
        <v>1276</v>
      </c>
      <c r="F742">
        <v>0.9</v>
      </c>
      <c r="G742">
        <v>0.7</v>
      </c>
      <c r="H742">
        <v>1148.4000000000001</v>
      </c>
      <c r="I742">
        <v>893.19999999999902</v>
      </c>
      <c r="J742">
        <v>255.2</v>
      </c>
      <c r="K742" t="s">
        <v>38</v>
      </c>
    </row>
    <row r="743" spans="1:11" x14ac:dyDescent="0.2">
      <c r="A743" s="1">
        <v>45396</v>
      </c>
      <c r="B743" t="s">
        <v>32</v>
      </c>
      <c r="C743" t="s">
        <v>29</v>
      </c>
      <c r="D743" t="s">
        <v>12</v>
      </c>
      <c r="E743">
        <v>3337</v>
      </c>
      <c r="F743">
        <v>1.25</v>
      </c>
      <c r="G743">
        <v>1.05</v>
      </c>
      <c r="H743">
        <v>4171.25</v>
      </c>
      <c r="I743">
        <v>3503.85</v>
      </c>
      <c r="J743">
        <v>667.39999999999895</v>
      </c>
      <c r="K743" t="s">
        <v>38</v>
      </c>
    </row>
    <row r="744" spans="1:11" x14ac:dyDescent="0.2">
      <c r="A744" s="1">
        <v>45390</v>
      </c>
      <c r="B744" t="s">
        <v>25</v>
      </c>
      <c r="C744" t="s">
        <v>20</v>
      </c>
      <c r="D744" t="s">
        <v>12</v>
      </c>
      <c r="E744">
        <v>5708</v>
      </c>
      <c r="F744">
        <v>1.25</v>
      </c>
      <c r="G744">
        <v>1.05</v>
      </c>
      <c r="H744">
        <v>7135</v>
      </c>
      <c r="I744">
        <v>5993.4</v>
      </c>
      <c r="J744">
        <v>1141.5999999999899</v>
      </c>
      <c r="K744" t="s">
        <v>38</v>
      </c>
    </row>
    <row r="745" spans="1:11" x14ac:dyDescent="0.2">
      <c r="A745" s="1">
        <v>45602</v>
      </c>
      <c r="B745" t="s">
        <v>16</v>
      </c>
      <c r="C745" t="s">
        <v>17</v>
      </c>
      <c r="D745" t="s">
        <v>14</v>
      </c>
      <c r="E745">
        <v>1187</v>
      </c>
      <c r="F745">
        <v>0.9</v>
      </c>
      <c r="G745">
        <v>0.7</v>
      </c>
      <c r="H745">
        <v>1068.3</v>
      </c>
      <c r="I745">
        <v>830.9</v>
      </c>
      <c r="J745">
        <v>237.39999999999901</v>
      </c>
      <c r="K745" t="s">
        <v>45</v>
      </c>
    </row>
    <row r="746" spans="1:11" x14ac:dyDescent="0.2">
      <c r="A746" s="1">
        <v>45297</v>
      </c>
      <c r="B746" t="s">
        <v>32</v>
      </c>
      <c r="C746" t="s">
        <v>20</v>
      </c>
      <c r="D746" t="s">
        <v>18</v>
      </c>
      <c r="E746">
        <v>1029</v>
      </c>
      <c r="F746">
        <v>1.2</v>
      </c>
      <c r="G746">
        <v>1</v>
      </c>
      <c r="H746">
        <v>1234.8</v>
      </c>
      <c r="I746">
        <v>1029</v>
      </c>
      <c r="J746">
        <v>205.79999999999899</v>
      </c>
      <c r="K746" t="s">
        <v>35</v>
      </c>
    </row>
    <row r="747" spans="1:11" x14ac:dyDescent="0.2">
      <c r="A747" s="1">
        <v>45488</v>
      </c>
      <c r="B747" t="s">
        <v>15</v>
      </c>
      <c r="C747" t="s">
        <v>17</v>
      </c>
      <c r="D747" t="s">
        <v>12</v>
      </c>
      <c r="E747">
        <v>3942</v>
      </c>
      <c r="F747">
        <v>1.25</v>
      </c>
      <c r="G747">
        <v>1.05</v>
      </c>
      <c r="H747">
        <v>4927.5</v>
      </c>
      <c r="I747">
        <v>4139.1000000000004</v>
      </c>
      <c r="J747">
        <v>788.39999999999895</v>
      </c>
      <c r="K747" t="s">
        <v>41</v>
      </c>
    </row>
    <row r="748" spans="1:11" x14ac:dyDescent="0.2">
      <c r="A748" s="1">
        <v>45642</v>
      </c>
      <c r="B748" t="s">
        <v>24</v>
      </c>
      <c r="C748" t="s">
        <v>17</v>
      </c>
      <c r="D748" t="s">
        <v>12</v>
      </c>
      <c r="E748">
        <v>5567</v>
      </c>
      <c r="F748">
        <v>1.25</v>
      </c>
      <c r="G748">
        <v>1.05</v>
      </c>
      <c r="H748">
        <v>6958.75</v>
      </c>
      <c r="I748">
        <v>5845.35</v>
      </c>
      <c r="J748">
        <v>1113.3999999999901</v>
      </c>
      <c r="K748" t="s">
        <v>46</v>
      </c>
    </row>
    <row r="749" spans="1:11" x14ac:dyDescent="0.2">
      <c r="A749" s="1">
        <v>45424</v>
      </c>
      <c r="B749" t="s">
        <v>31</v>
      </c>
      <c r="C749" t="s">
        <v>20</v>
      </c>
      <c r="D749" t="s">
        <v>12</v>
      </c>
      <c r="E749">
        <v>5531</v>
      </c>
      <c r="F749">
        <v>1.25</v>
      </c>
      <c r="G749">
        <v>1.05</v>
      </c>
      <c r="H749">
        <v>6913.75</v>
      </c>
      <c r="I749">
        <v>5807.55</v>
      </c>
      <c r="J749">
        <v>1106.19999999999</v>
      </c>
      <c r="K749" t="s">
        <v>39</v>
      </c>
    </row>
    <row r="750" spans="1:11" x14ac:dyDescent="0.2">
      <c r="A750" s="1">
        <v>45649</v>
      </c>
      <c r="B750" t="s">
        <v>28</v>
      </c>
      <c r="C750" t="s">
        <v>17</v>
      </c>
      <c r="D750" t="s">
        <v>18</v>
      </c>
      <c r="E750">
        <v>2653</v>
      </c>
      <c r="F750">
        <v>1.2</v>
      </c>
      <c r="G750">
        <v>1</v>
      </c>
      <c r="H750">
        <v>3183.6</v>
      </c>
      <c r="I750">
        <v>2653</v>
      </c>
      <c r="J750">
        <v>530.599999999999</v>
      </c>
      <c r="K750" t="s">
        <v>46</v>
      </c>
    </row>
    <row r="751" spans="1:11" x14ac:dyDescent="0.2">
      <c r="A751" s="1">
        <v>45550</v>
      </c>
      <c r="B751" t="s">
        <v>13</v>
      </c>
      <c r="C751" t="s">
        <v>17</v>
      </c>
      <c r="D751" t="s">
        <v>12</v>
      </c>
      <c r="E751">
        <v>1794</v>
      </c>
      <c r="F751">
        <v>1.25</v>
      </c>
      <c r="G751">
        <v>1.05</v>
      </c>
      <c r="H751">
        <v>2242.5</v>
      </c>
      <c r="I751">
        <v>1883.7</v>
      </c>
      <c r="J751">
        <v>358.79999999999899</v>
      </c>
      <c r="K751" t="s">
        <v>43</v>
      </c>
    </row>
    <row r="752" spans="1:11" x14ac:dyDescent="0.2">
      <c r="A752" s="1">
        <v>45314</v>
      </c>
      <c r="B752" t="s">
        <v>13</v>
      </c>
      <c r="C752" t="s">
        <v>29</v>
      </c>
      <c r="D752" t="s">
        <v>12</v>
      </c>
      <c r="E752">
        <v>2026</v>
      </c>
      <c r="F752">
        <v>1.25</v>
      </c>
      <c r="G752">
        <v>1.05</v>
      </c>
      <c r="H752">
        <v>2532.5</v>
      </c>
      <c r="I752">
        <v>2127.3000000000002</v>
      </c>
      <c r="J752">
        <v>405.19999999999902</v>
      </c>
      <c r="K752" t="s">
        <v>35</v>
      </c>
    </row>
    <row r="753" spans="1:11" x14ac:dyDescent="0.2">
      <c r="A753" s="1">
        <v>45344</v>
      </c>
      <c r="B753" t="s">
        <v>16</v>
      </c>
      <c r="C753" t="s">
        <v>11</v>
      </c>
      <c r="D753" t="s">
        <v>14</v>
      </c>
      <c r="E753">
        <v>5274</v>
      </c>
      <c r="F753">
        <v>0.9</v>
      </c>
      <c r="G753">
        <v>0.7</v>
      </c>
      <c r="H753">
        <v>4746.6000000000004</v>
      </c>
      <c r="I753">
        <v>3691.7999999999902</v>
      </c>
      <c r="J753">
        <v>1054.8</v>
      </c>
      <c r="K753" t="s">
        <v>36</v>
      </c>
    </row>
    <row r="754" spans="1:11" x14ac:dyDescent="0.2">
      <c r="A754" s="1">
        <v>45456</v>
      </c>
      <c r="B754" t="s">
        <v>25</v>
      </c>
      <c r="C754" t="s">
        <v>11</v>
      </c>
      <c r="D754" t="s">
        <v>18</v>
      </c>
      <c r="E754">
        <v>3396</v>
      </c>
      <c r="F754">
        <v>1.2</v>
      </c>
      <c r="G754">
        <v>1</v>
      </c>
      <c r="H754">
        <v>4075.2</v>
      </c>
      <c r="I754">
        <v>3396</v>
      </c>
      <c r="J754">
        <v>679.19999999999902</v>
      </c>
      <c r="K754" t="s">
        <v>40</v>
      </c>
    </row>
    <row r="755" spans="1:11" x14ac:dyDescent="0.2">
      <c r="A755" s="1">
        <v>45493</v>
      </c>
      <c r="B755" t="s">
        <v>13</v>
      </c>
      <c r="C755" t="s">
        <v>29</v>
      </c>
      <c r="D755" t="s">
        <v>12</v>
      </c>
      <c r="E755">
        <v>3603</v>
      </c>
      <c r="F755">
        <v>1.25</v>
      </c>
      <c r="G755">
        <v>1.05</v>
      </c>
      <c r="H755">
        <v>4503.75</v>
      </c>
      <c r="I755">
        <v>3783.15</v>
      </c>
      <c r="J755">
        <v>720.599999999999</v>
      </c>
      <c r="K755" t="s">
        <v>41</v>
      </c>
    </row>
    <row r="756" spans="1:11" x14ac:dyDescent="0.2">
      <c r="A756" s="1">
        <v>45374</v>
      </c>
      <c r="B756" t="s">
        <v>15</v>
      </c>
      <c r="C756" t="s">
        <v>20</v>
      </c>
      <c r="D756" t="s">
        <v>18</v>
      </c>
      <c r="E756">
        <v>2940</v>
      </c>
      <c r="F756">
        <v>1.2</v>
      </c>
      <c r="G756">
        <v>1</v>
      </c>
      <c r="H756">
        <v>3528</v>
      </c>
      <c r="I756">
        <v>2940</v>
      </c>
      <c r="J756">
        <v>588</v>
      </c>
      <c r="K756" t="s">
        <v>37</v>
      </c>
    </row>
    <row r="757" spans="1:11" x14ac:dyDescent="0.2">
      <c r="A757" s="1">
        <v>45436</v>
      </c>
      <c r="B757" t="s">
        <v>10</v>
      </c>
      <c r="C757" t="s">
        <v>23</v>
      </c>
      <c r="D757" t="s">
        <v>18</v>
      </c>
      <c r="E757">
        <v>4635</v>
      </c>
      <c r="F757">
        <v>1.2</v>
      </c>
      <c r="G757">
        <v>1</v>
      </c>
      <c r="H757">
        <v>5562</v>
      </c>
      <c r="I757">
        <v>4635</v>
      </c>
      <c r="J757">
        <v>927</v>
      </c>
      <c r="K757" t="s">
        <v>39</v>
      </c>
    </row>
    <row r="758" spans="1:11" x14ac:dyDescent="0.2">
      <c r="A758" s="1">
        <v>45376</v>
      </c>
      <c r="B758" t="s">
        <v>22</v>
      </c>
      <c r="C758" t="s">
        <v>23</v>
      </c>
      <c r="D758" t="s">
        <v>12</v>
      </c>
      <c r="E758">
        <v>4302</v>
      </c>
      <c r="F758">
        <v>1.25</v>
      </c>
      <c r="G758">
        <v>1.05</v>
      </c>
      <c r="H758">
        <v>5377.5</v>
      </c>
      <c r="I758">
        <v>4517.1000000000004</v>
      </c>
      <c r="J758">
        <v>860.39999999999895</v>
      </c>
      <c r="K758" t="s">
        <v>37</v>
      </c>
    </row>
    <row r="759" spans="1:11" x14ac:dyDescent="0.2">
      <c r="A759" s="1">
        <v>45369</v>
      </c>
      <c r="B759" t="s">
        <v>27</v>
      </c>
      <c r="C759" t="s">
        <v>23</v>
      </c>
      <c r="D759" t="s">
        <v>12</v>
      </c>
      <c r="E759">
        <v>5701</v>
      </c>
      <c r="F759">
        <v>1.25</v>
      </c>
      <c r="G759">
        <v>1.05</v>
      </c>
      <c r="H759">
        <v>7126.25</v>
      </c>
      <c r="I759">
        <v>5986.05</v>
      </c>
      <c r="J759">
        <v>1140.19999999999</v>
      </c>
      <c r="K759" t="s">
        <v>37</v>
      </c>
    </row>
    <row r="760" spans="1:11" x14ac:dyDescent="0.2">
      <c r="A760" s="1">
        <v>45657</v>
      </c>
      <c r="B760" t="s">
        <v>19</v>
      </c>
      <c r="C760" t="s">
        <v>29</v>
      </c>
      <c r="D760" t="s">
        <v>18</v>
      </c>
      <c r="E760">
        <v>1344</v>
      </c>
      <c r="F760">
        <v>1.2</v>
      </c>
      <c r="G760">
        <v>1</v>
      </c>
      <c r="H760">
        <v>1612.8</v>
      </c>
      <c r="I760">
        <v>1344</v>
      </c>
      <c r="J760">
        <v>268.79999999999899</v>
      </c>
      <c r="K760" t="s">
        <v>46</v>
      </c>
    </row>
    <row r="761" spans="1:11" x14ac:dyDescent="0.2">
      <c r="A761" s="1">
        <v>45292</v>
      </c>
      <c r="B761" t="s">
        <v>15</v>
      </c>
      <c r="C761" t="s">
        <v>29</v>
      </c>
      <c r="D761" t="s">
        <v>12</v>
      </c>
      <c r="E761">
        <v>946</v>
      </c>
      <c r="F761">
        <v>1.25</v>
      </c>
      <c r="G761">
        <v>1.05</v>
      </c>
      <c r="H761">
        <v>1182.5</v>
      </c>
      <c r="I761">
        <v>993.3</v>
      </c>
      <c r="J761">
        <v>189.19999999999899</v>
      </c>
      <c r="K761" t="s">
        <v>35</v>
      </c>
    </row>
    <row r="762" spans="1:11" x14ac:dyDescent="0.2">
      <c r="A762" s="1">
        <v>45342</v>
      </c>
      <c r="B762" t="s">
        <v>32</v>
      </c>
      <c r="C762" t="s">
        <v>17</v>
      </c>
      <c r="D762" t="s">
        <v>18</v>
      </c>
      <c r="E762">
        <v>4415</v>
      </c>
      <c r="F762">
        <v>1.2</v>
      </c>
      <c r="G762">
        <v>1</v>
      </c>
      <c r="H762">
        <v>5298</v>
      </c>
      <c r="I762">
        <v>4415</v>
      </c>
      <c r="J762">
        <v>883</v>
      </c>
      <c r="K762" t="s">
        <v>36</v>
      </c>
    </row>
    <row r="763" spans="1:11" x14ac:dyDescent="0.2">
      <c r="A763" s="1">
        <v>45464</v>
      </c>
      <c r="B763" t="s">
        <v>26</v>
      </c>
      <c r="C763" t="s">
        <v>23</v>
      </c>
      <c r="D763" t="s">
        <v>12</v>
      </c>
      <c r="E763">
        <v>3609</v>
      </c>
      <c r="F763">
        <v>1.25</v>
      </c>
      <c r="G763">
        <v>1.05</v>
      </c>
      <c r="H763">
        <v>4511.25</v>
      </c>
      <c r="I763">
        <v>3789.45</v>
      </c>
      <c r="J763">
        <v>721.79999999999905</v>
      </c>
      <c r="K763" t="s">
        <v>40</v>
      </c>
    </row>
    <row r="764" spans="1:11" x14ac:dyDescent="0.2">
      <c r="A764" s="1">
        <v>45496</v>
      </c>
      <c r="B764" t="s">
        <v>16</v>
      </c>
      <c r="C764" t="s">
        <v>20</v>
      </c>
      <c r="D764" t="s">
        <v>12</v>
      </c>
      <c r="E764">
        <v>1734</v>
      </c>
      <c r="F764">
        <v>1.25</v>
      </c>
      <c r="G764">
        <v>1.05</v>
      </c>
      <c r="H764">
        <v>2167.5</v>
      </c>
      <c r="I764">
        <v>1820.7</v>
      </c>
      <c r="J764">
        <v>346.79999999999899</v>
      </c>
      <c r="K764" t="s">
        <v>41</v>
      </c>
    </row>
    <row r="765" spans="1:11" x14ac:dyDescent="0.2">
      <c r="A765" s="1">
        <v>45551</v>
      </c>
      <c r="B765" t="s">
        <v>24</v>
      </c>
      <c r="C765" t="s">
        <v>20</v>
      </c>
      <c r="D765" t="s">
        <v>12</v>
      </c>
      <c r="E765">
        <v>5946</v>
      </c>
      <c r="F765">
        <v>1.25</v>
      </c>
      <c r="G765">
        <v>1.05</v>
      </c>
      <c r="H765">
        <v>7432.5</v>
      </c>
      <c r="I765">
        <v>6243.3</v>
      </c>
      <c r="J765">
        <v>1189.19999999999</v>
      </c>
      <c r="K765" t="s">
        <v>43</v>
      </c>
    </row>
    <row r="766" spans="1:11" x14ac:dyDescent="0.2">
      <c r="A766" s="1">
        <v>45579</v>
      </c>
      <c r="B766" t="s">
        <v>31</v>
      </c>
      <c r="C766" t="s">
        <v>23</v>
      </c>
      <c r="D766" t="s">
        <v>12</v>
      </c>
      <c r="E766">
        <v>726</v>
      </c>
      <c r="F766">
        <v>1.25</v>
      </c>
      <c r="G766">
        <v>1.05</v>
      </c>
      <c r="H766">
        <v>907.5</v>
      </c>
      <c r="I766">
        <v>762.3</v>
      </c>
      <c r="J766">
        <v>145.19999999999899</v>
      </c>
      <c r="K766" t="s">
        <v>44</v>
      </c>
    </row>
    <row r="767" spans="1:11" x14ac:dyDescent="0.2">
      <c r="A767" s="1">
        <v>45325</v>
      </c>
      <c r="B767" t="s">
        <v>26</v>
      </c>
      <c r="C767" t="s">
        <v>23</v>
      </c>
      <c r="D767" t="s">
        <v>12</v>
      </c>
      <c r="E767">
        <v>4643</v>
      </c>
      <c r="F767">
        <v>1.25</v>
      </c>
      <c r="G767">
        <v>1.05</v>
      </c>
      <c r="H767">
        <v>5803.75</v>
      </c>
      <c r="I767">
        <v>4875.1499999999996</v>
      </c>
      <c r="J767">
        <v>928.599999999999</v>
      </c>
      <c r="K767" t="s">
        <v>36</v>
      </c>
    </row>
    <row r="768" spans="1:11" x14ac:dyDescent="0.2">
      <c r="A768" s="1">
        <v>45639</v>
      </c>
      <c r="B768" t="s">
        <v>31</v>
      </c>
      <c r="C768" t="s">
        <v>23</v>
      </c>
      <c r="D768" t="s">
        <v>12</v>
      </c>
      <c r="E768">
        <v>3459</v>
      </c>
      <c r="F768">
        <v>1.25</v>
      </c>
      <c r="G768">
        <v>1.05</v>
      </c>
      <c r="H768">
        <v>4323.75</v>
      </c>
      <c r="I768">
        <v>3631.95</v>
      </c>
      <c r="J768">
        <v>691.79999999999905</v>
      </c>
      <c r="K768" t="s">
        <v>46</v>
      </c>
    </row>
    <row r="769" spans="1:11" x14ac:dyDescent="0.2">
      <c r="A769" s="1">
        <v>45386</v>
      </c>
      <c r="B769" t="s">
        <v>21</v>
      </c>
      <c r="C769" t="s">
        <v>29</v>
      </c>
      <c r="D769" t="s">
        <v>18</v>
      </c>
      <c r="E769">
        <v>2330</v>
      </c>
      <c r="F769">
        <v>1.2</v>
      </c>
      <c r="G769">
        <v>1</v>
      </c>
      <c r="H769">
        <v>2796</v>
      </c>
      <c r="I769">
        <v>2330</v>
      </c>
      <c r="J769">
        <v>466</v>
      </c>
      <c r="K769" t="s">
        <v>38</v>
      </c>
    </row>
    <row r="770" spans="1:11" x14ac:dyDescent="0.2">
      <c r="A770" s="1">
        <v>45363</v>
      </c>
      <c r="B770" t="s">
        <v>26</v>
      </c>
      <c r="C770" t="s">
        <v>29</v>
      </c>
      <c r="D770" t="s">
        <v>14</v>
      </c>
      <c r="E770">
        <v>4279</v>
      </c>
      <c r="F770">
        <v>0.9</v>
      </c>
      <c r="G770">
        <v>0.7</v>
      </c>
      <c r="H770">
        <v>3851.1</v>
      </c>
      <c r="I770">
        <v>2995.2999999999902</v>
      </c>
      <c r="J770">
        <v>855.8</v>
      </c>
      <c r="K770" t="s">
        <v>37</v>
      </c>
    </row>
    <row r="771" spans="1:11" x14ac:dyDescent="0.2">
      <c r="A771" s="1">
        <v>45330</v>
      </c>
      <c r="B771" t="s">
        <v>19</v>
      </c>
      <c r="C771" t="s">
        <v>29</v>
      </c>
      <c r="D771" t="s">
        <v>18</v>
      </c>
      <c r="E771">
        <v>686</v>
      </c>
      <c r="F771">
        <v>1.2</v>
      </c>
      <c r="G771">
        <v>1</v>
      </c>
      <c r="H771">
        <v>823.19999999999902</v>
      </c>
      <c r="I771">
        <v>686</v>
      </c>
      <c r="J771">
        <v>137.19999999999899</v>
      </c>
      <c r="K771" t="s">
        <v>36</v>
      </c>
    </row>
    <row r="772" spans="1:11" x14ac:dyDescent="0.2">
      <c r="A772" s="1">
        <v>45445</v>
      </c>
      <c r="B772" t="s">
        <v>25</v>
      </c>
      <c r="C772" t="s">
        <v>11</v>
      </c>
      <c r="D772" t="s">
        <v>14</v>
      </c>
      <c r="E772">
        <v>3377</v>
      </c>
      <c r="F772">
        <v>0.9</v>
      </c>
      <c r="G772">
        <v>0.7</v>
      </c>
      <c r="H772">
        <v>3039.3</v>
      </c>
      <c r="I772">
        <v>2363.8999999999901</v>
      </c>
      <c r="J772">
        <v>675.4</v>
      </c>
      <c r="K772" t="s">
        <v>40</v>
      </c>
    </row>
    <row r="773" spans="1:11" x14ac:dyDescent="0.2">
      <c r="A773" s="1">
        <v>45541</v>
      </c>
      <c r="B773" t="s">
        <v>22</v>
      </c>
      <c r="C773" t="s">
        <v>20</v>
      </c>
      <c r="D773" t="s">
        <v>12</v>
      </c>
      <c r="E773">
        <v>3035</v>
      </c>
      <c r="F773">
        <v>1.25</v>
      </c>
      <c r="G773">
        <v>1.05</v>
      </c>
      <c r="H773">
        <v>3793.75</v>
      </c>
      <c r="I773">
        <v>3186.75</v>
      </c>
      <c r="J773">
        <v>607</v>
      </c>
      <c r="K773" t="s">
        <v>43</v>
      </c>
    </row>
    <row r="774" spans="1:11" x14ac:dyDescent="0.2">
      <c r="A774" s="1">
        <v>45453</v>
      </c>
      <c r="B774" t="s">
        <v>27</v>
      </c>
      <c r="C774" t="s">
        <v>20</v>
      </c>
      <c r="D774" t="s">
        <v>14</v>
      </c>
      <c r="E774">
        <v>2432</v>
      </c>
      <c r="F774">
        <v>0.9</v>
      </c>
      <c r="G774">
        <v>0.7</v>
      </c>
      <c r="H774">
        <v>2188.8000000000002</v>
      </c>
      <c r="I774">
        <v>1702.3999999999901</v>
      </c>
      <c r="J774">
        <v>486.4</v>
      </c>
      <c r="K774" t="s">
        <v>40</v>
      </c>
    </row>
    <row r="775" spans="1:11" x14ac:dyDescent="0.2">
      <c r="A775" s="1">
        <v>45409</v>
      </c>
      <c r="B775" t="s">
        <v>27</v>
      </c>
      <c r="C775" t="s">
        <v>17</v>
      </c>
      <c r="D775" t="s">
        <v>12</v>
      </c>
      <c r="E775">
        <v>3424</v>
      </c>
      <c r="F775">
        <v>1.25</v>
      </c>
      <c r="G775">
        <v>1.05</v>
      </c>
      <c r="H775">
        <v>4280</v>
      </c>
      <c r="I775">
        <v>3595.2</v>
      </c>
      <c r="J775">
        <v>684.79999999999905</v>
      </c>
      <c r="K775" t="s">
        <v>38</v>
      </c>
    </row>
    <row r="776" spans="1:11" x14ac:dyDescent="0.2">
      <c r="A776" s="1">
        <v>45550</v>
      </c>
      <c r="B776" t="s">
        <v>22</v>
      </c>
      <c r="C776" t="s">
        <v>29</v>
      </c>
      <c r="D776" t="s">
        <v>14</v>
      </c>
      <c r="E776">
        <v>1348</v>
      </c>
      <c r="F776">
        <v>0.9</v>
      </c>
      <c r="G776">
        <v>0.7</v>
      </c>
      <c r="H776">
        <v>1213.2</v>
      </c>
      <c r="I776">
        <v>943.599999999999</v>
      </c>
      <c r="J776">
        <v>269.60000000000002</v>
      </c>
      <c r="K776" t="s">
        <v>43</v>
      </c>
    </row>
    <row r="777" spans="1:11" x14ac:dyDescent="0.2">
      <c r="A777" s="1">
        <v>45597</v>
      </c>
      <c r="B777" t="s">
        <v>10</v>
      </c>
      <c r="C777" t="s">
        <v>11</v>
      </c>
      <c r="D777" t="s">
        <v>14</v>
      </c>
      <c r="E777">
        <v>2532</v>
      </c>
      <c r="F777">
        <v>0.9</v>
      </c>
      <c r="G777">
        <v>0.7</v>
      </c>
      <c r="H777">
        <v>2278.8000000000002</v>
      </c>
      <c r="I777">
        <v>1772.3999999999901</v>
      </c>
      <c r="J777">
        <v>506.4</v>
      </c>
      <c r="K777" t="s">
        <v>45</v>
      </c>
    </row>
    <row r="778" spans="1:11" x14ac:dyDescent="0.2">
      <c r="A778" s="1">
        <v>45559</v>
      </c>
      <c r="B778" t="s">
        <v>28</v>
      </c>
      <c r="C778" t="s">
        <v>11</v>
      </c>
      <c r="D778" t="s">
        <v>18</v>
      </c>
      <c r="E778">
        <v>1752</v>
      </c>
      <c r="F778">
        <v>1.2</v>
      </c>
      <c r="G778">
        <v>1</v>
      </c>
      <c r="H778">
        <v>2102.4</v>
      </c>
      <c r="I778">
        <v>1752</v>
      </c>
      <c r="J778">
        <v>350.4</v>
      </c>
      <c r="K778" t="s">
        <v>43</v>
      </c>
    </row>
    <row r="779" spans="1:11" x14ac:dyDescent="0.2">
      <c r="A779" s="1">
        <v>45345</v>
      </c>
      <c r="B779" t="s">
        <v>21</v>
      </c>
      <c r="C779" t="s">
        <v>20</v>
      </c>
      <c r="D779" t="s">
        <v>14</v>
      </c>
      <c r="E779">
        <v>5574</v>
      </c>
      <c r="F779">
        <v>0.9</v>
      </c>
      <c r="G779">
        <v>0.7</v>
      </c>
      <c r="H779">
        <v>5016.6000000000004</v>
      </c>
      <c r="I779">
        <v>3901.7999999999902</v>
      </c>
      <c r="J779">
        <v>1114.8</v>
      </c>
      <c r="K779" t="s">
        <v>36</v>
      </c>
    </row>
    <row r="780" spans="1:11" x14ac:dyDescent="0.2">
      <c r="A780" s="1">
        <v>45527</v>
      </c>
      <c r="B780" t="s">
        <v>31</v>
      </c>
      <c r="C780" t="s">
        <v>29</v>
      </c>
      <c r="D780" t="s">
        <v>18</v>
      </c>
      <c r="E780">
        <v>5612</v>
      </c>
      <c r="F780">
        <v>1.2</v>
      </c>
      <c r="G780">
        <v>1</v>
      </c>
      <c r="H780">
        <v>6734.4</v>
      </c>
      <c r="I780">
        <v>5612</v>
      </c>
      <c r="J780">
        <v>1122.3999999999901</v>
      </c>
      <c r="K780" t="s">
        <v>42</v>
      </c>
    </row>
    <row r="781" spans="1:11" x14ac:dyDescent="0.2">
      <c r="A781" s="1">
        <v>45513</v>
      </c>
      <c r="B781" t="s">
        <v>19</v>
      </c>
      <c r="C781" t="s">
        <v>17</v>
      </c>
      <c r="D781" t="s">
        <v>12</v>
      </c>
      <c r="E781">
        <v>2381</v>
      </c>
      <c r="F781">
        <v>1.25</v>
      </c>
      <c r="G781">
        <v>1.05</v>
      </c>
      <c r="H781">
        <v>2976.25</v>
      </c>
      <c r="I781">
        <v>2500.0500000000002</v>
      </c>
      <c r="J781">
        <v>476.19999999999902</v>
      </c>
      <c r="K781" t="s">
        <v>42</v>
      </c>
    </row>
    <row r="782" spans="1:11" x14ac:dyDescent="0.2">
      <c r="A782" s="1">
        <v>45542</v>
      </c>
      <c r="B782" t="s">
        <v>13</v>
      </c>
      <c r="C782" t="s">
        <v>29</v>
      </c>
      <c r="D782" t="s">
        <v>12</v>
      </c>
      <c r="E782">
        <v>769</v>
      </c>
      <c r="F782">
        <v>1.25</v>
      </c>
      <c r="G782">
        <v>1.05</v>
      </c>
      <c r="H782">
        <v>961.25</v>
      </c>
      <c r="I782">
        <v>807.45</v>
      </c>
      <c r="J782">
        <v>153.79999999999899</v>
      </c>
      <c r="K782" t="s">
        <v>43</v>
      </c>
    </row>
    <row r="783" spans="1:11" x14ac:dyDescent="0.2">
      <c r="A783" s="1">
        <v>45604</v>
      </c>
      <c r="B783" t="s">
        <v>26</v>
      </c>
      <c r="C783" t="s">
        <v>23</v>
      </c>
      <c r="D783" t="s">
        <v>18</v>
      </c>
      <c r="E783">
        <v>2130</v>
      </c>
      <c r="F783">
        <v>1.2</v>
      </c>
      <c r="G783">
        <v>1</v>
      </c>
      <c r="H783">
        <v>2556</v>
      </c>
      <c r="I783">
        <v>2130</v>
      </c>
      <c r="J783">
        <v>426</v>
      </c>
      <c r="K783" t="s">
        <v>45</v>
      </c>
    </row>
    <row r="784" spans="1:11" x14ac:dyDescent="0.2">
      <c r="A784" s="1">
        <v>45403</v>
      </c>
      <c r="B784" t="s">
        <v>21</v>
      </c>
      <c r="C784" t="s">
        <v>29</v>
      </c>
      <c r="D784" t="s">
        <v>12</v>
      </c>
      <c r="E784">
        <v>4905</v>
      </c>
      <c r="F784">
        <v>1.25</v>
      </c>
      <c r="G784">
        <v>1.05</v>
      </c>
      <c r="H784">
        <v>6131.25</v>
      </c>
      <c r="I784">
        <v>5150.25</v>
      </c>
      <c r="J784">
        <v>981</v>
      </c>
      <c r="K784" t="s">
        <v>38</v>
      </c>
    </row>
    <row r="785" spans="1:11" x14ac:dyDescent="0.2">
      <c r="A785" s="1">
        <v>45546</v>
      </c>
      <c r="B785" t="s">
        <v>15</v>
      </c>
      <c r="C785" t="s">
        <v>23</v>
      </c>
      <c r="D785" t="s">
        <v>18</v>
      </c>
      <c r="E785">
        <v>3703</v>
      </c>
      <c r="F785">
        <v>1.2</v>
      </c>
      <c r="G785">
        <v>1</v>
      </c>
      <c r="H785">
        <v>4443.5999999999904</v>
      </c>
      <c r="I785">
        <v>3703</v>
      </c>
      <c r="J785">
        <v>740.599999999999</v>
      </c>
      <c r="K785" t="s">
        <v>43</v>
      </c>
    </row>
    <row r="786" spans="1:11" x14ac:dyDescent="0.2">
      <c r="A786" s="1">
        <v>45594</v>
      </c>
      <c r="B786" t="s">
        <v>16</v>
      </c>
      <c r="C786" t="s">
        <v>23</v>
      </c>
      <c r="D786" t="s">
        <v>14</v>
      </c>
      <c r="E786">
        <v>2074</v>
      </c>
      <c r="F786">
        <v>0.9</v>
      </c>
      <c r="G786">
        <v>0.7</v>
      </c>
      <c r="H786">
        <v>1866.6</v>
      </c>
      <c r="I786">
        <v>1451.8</v>
      </c>
      <c r="J786">
        <v>414.8</v>
      </c>
      <c r="K786" t="s">
        <v>44</v>
      </c>
    </row>
    <row r="787" spans="1:11" x14ac:dyDescent="0.2">
      <c r="A787" s="1">
        <v>45498</v>
      </c>
      <c r="B787" t="s">
        <v>26</v>
      </c>
      <c r="C787" t="s">
        <v>17</v>
      </c>
      <c r="D787" t="s">
        <v>12</v>
      </c>
      <c r="E787">
        <v>5691</v>
      </c>
      <c r="F787">
        <v>1.25</v>
      </c>
      <c r="G787">
        <v>1.05</v>
      </c>
      <c r="H787">
        <v>7113.75</v>
      </c>
      <c r="I787">
        <v>5975.55</v>
      </c>
      <c r="J787">
        <v>1138.19999999999</v>
      </c>
      <c r="K787" t="s">
        <v>41</v>
      </c>
    </row>
    <row r="788" spans="1:11" x14ac:dyDescent="0.2">
      <c r="A788" s="1">
        <v>45520</v>
      </c>
      <c r="B788" t="s">
        <v>19</v>
      </c>
      <c r="C788" t="s">
        <v>20</v>
      </c>
      <c r="D788" t="s">
        <v>18</v>
      </c>
      <c r="E788">
        <v>3392</v>
      </c>
      <c r="F788">
        <v>1.2</v>
      </c>
      <c r="G788">
        <v>1</v>
      </c>
      <c r="H788">
        <v>4070.3999999999901</v>
      </c>
      <c r="I788">
        <v>3392</v>
      </c>
      <c r="J788">
        <v>678.39999999999895</v>
      </c>
      <c r="K788" t="s">
        <v>42</v>
      </c>
    </row>
    <row r="789" spans="1:11" x14ac:dyDescent="0.2">
      <c r="A789" s="1">
        <v>45632</v>
      </c>
      <c r="B789" t="s">
        <v>24</v>
      </c>
      <c r="C789" t="s">
        <v>29</v>
      </c>
      <c r="D789" t="s">
        <v>14</v>
      </c>
      <c r="E789">
        <v>2195</v>
      </c>
      <c r="F789">
        <v>0.9</v>
      </c>
      <c r="G789">
        <v>0.7</v>
      </c>
      <c r="H789">
        <v>1975.5</v>
      </c>
      <c r="I789">
        <v>1536.5</v>
      </c>
      <c r="J789">
        <v>439</v>
      </c>
      <c r="K789" t="s">
        <v>46</v>
      </c>
    </row>
    <row r="790" spans="1:11" x14ac:dyDescent="0.2">
      <c r="A790" s="1">
        <v>45357</v>
      </c>
      <c r="B790" t="s">
        <v>24</v>
      </c>
      <c r="C790" t="s">
        <v>23</v>
      </c>
      <c r="D790" t="s">
        <v>14</v>
      </c>
      <c r="E790">
        <v>3758</v>
      </c>
      <c r="F790">
        <v>0.9</v>
      </c>
      <c r="G790">
        <v>0.7</v>
      </c>
      <c r="H790">
        <v>3382.2</v>
      </c>
      <c r="I790">
        <v>2630.6</v>
      </c>
      <c r="J790">
        <v>751.6</v>
      </c>
      <c r="K790" t="s">
        <v>37</v>
      </c>
    </row>
    <row r="791" spans="1:11" x14ac:dyDescent="0.2">
      <c r="A791" s="1">
        <v>45366</v>
      </c>
      <c r="B791" t="s">
        <v>32</v>
      </c>
      <c r="C791" t="s">
        <v>29</v>
      </c>
      <c r="D791" t="s">
        <v>14</v>
      </c>
      <c r="E791">
        <v>3762</v>
      </c>
      <c r="F791">
        <v>0.9</v>
      </c>
      <c r="G791">
        <v>0.7</v>
      </c>
      <c r="H791">
        <v>3385.8</v>
      </c>
      <c r="I791">
        <v>2633.3999999999901</v>
      </c>
      <c r="J791">
        <v>752.4</v>
      </c>
      <c r="K791" t="s">
        <v>37</v>
      </c>
    </row>
    <row r="792" spans="1:11" x14ac:dyDescent="0.2">
      <c r="A792" s="1">
        <v>45394</v>
      </c>
      <c r="B792" t="s">
        <v>21</v>
      </c>
      <c r="C792" t="s">
        <v>20</v>
      </c>
      <c r="D792" t="s">
        <v>18</v>
      </c>
      <c r="E792">
        <v>1945</v>
      </c>
      <c r="F792">
        <v>1.2</v>
      </c>
      <c r="G792">
        <v>1</v>
      </c>
      <c r="H792">
        <v>2334</v>
      </c>
      <c r="I792">
        <v>1945</v>
      </c>
      <c r="J792">
        <v>389</v>
      </c>
      <c r="K792" t="s">
        <v>38</v>
      </c>
    </row>
    <row r="793" spans="1:11" x14ac:dyDescent="0.2">
      <c r="A793" s="1">
        <v>45483</v>
      </c>
      <c r="B793" t="s">
        <v>25</v>
      </c>
      <c r="C793" t="s">
        <v>20</v>
      </c>
      <c r="D793" t="s">
        <v>14</v>
      </c>
      <c r="E793">
        <v>719</v>
      </c>
      <c r="F793">
        <v>0.9</v>
      </c>
      <c r="G793">
        <v>0.7</v>
      </c>
      <c r="H793">
        <v>647.1</v>
      </c>
      <c r="I793">
        <v>503.29999999999899</v>
      </c>
      <c r="J793">
        <v>143.80000000000001</v>
      </c>
      <c r="K793" t="s">
        <v>41</v>
      </c>
    </row>
    <row r="794" spans="1:11" x14ac:dyDescent="0.2">
      <c r="A794" s="1">
        <v>45543</v>
      </c>
      <c r="B794" t="s">
        <v>19</v>
      </c>
      <c r="C794" t="s">
        <v>11</v>
      </c>
      <c r="D794" t="s">
        <v>18</v>
      </c>
      <c r="E794">
        <v>552</v>
      </c>
      <c r="F794">
        <v>1.2</v>
      </c>
      <c r="G794">
        <v>1</v>
      </c>
      <c r="H794">
        <v>662.4</v>
      </c>
      <c r="I794">
        <v>552</v>
      </c>
      <c r="J794">
        <v>110.399999999999</v>
      </c>
      <c r="K794" t="s">
        <v>43</v>
      </c>
    </row>
    <row r="795" spans="1:11" x14ac:dyDescent="0.2">
      <c r="A795" s="1">
        <v>45517</v>
      </c>
      <c r="B795" t="s">
        <v>19</v>
      </c>
      <c r="C795" t="s">
        <v>20</v>
      </c>
      <c r="D795" t="s">
        <v>12</v>
      </c>
      <c r="E795">
        <v>2257</v>
      </c>
      <c r="F795">
        <v>1.25</v>
      </c>
      <c r="G795">
        <v>1.05</v>
      </c>
      <c r="H795">
        <v>2821.25</v>
      </c>
      <c r="I795">
        <v>2369.85</v>
      </c>
      <c r="J795">
        <v>451.4</v>
      </c>
      <c r="K795" t="s">
        <v>42</v>
      </c>
    </row>
    <row r="796" spans="1:11" x14ac:dyDescent="0.2">
      <c r="A796" s="1">
        <v>45585</v>
      </c>
      <c r="B796" t="s">
        <v>22</v>
      </c>
      <c r="C796" t="s">
        <v>17</v>
      </c>
      <c r="D796" t="s">
        <v>12</v>
      </c>
      <c r="E796">
        <v>2166</v>
      </c>
      <c r="F796">
        <v>1.25</v>
      </c>
      <c r="G796">
        <v>1.05</v>
      </c>
      <c r="H796">
        <v>2707.5</v>
      </c>
      <c r="I796">
        <v>2274.3000000000002</v>
      </c>
      <c r="J796">
        <v>433.19999999999902</v>
      </c>
      <c r="K796" t="s">
        <v>44</v>
      </c>
    </row>
    <row r="797" spans="1:11" x14ac:dyDescent="0.2">
      <c r="A797" s="1">
        <v>45597</v>
      </c>
      <c r="B797" t="s">
        <v>15</v>
      </c>
      <c r="C797" t="s">
        <v>23</v>
      </c>
      <c r="D797" t="s">
        <v>18</v>
      </c>
      <c r="E797">
        <v>5856</v>
      </c>
      <c r="F797">
        <v>1.2</v>
      </c>
      <c r="G797">
        <v>1</v>
      </c>
      <c r="H797">
        <v>7027.2</v>
      </c>
      <c r="I797">
        <v>5856</v>
      </c>
      <c r="J797">
        <v>1171.19999999999</v>
      </c>
      <c r="K797" t="s">
        <v>45</v>
      </c>
    </row>
    <row r="798" spans="1:11" x14ac:dyDescent="0.2">
      <c r="A798" s="1">
        <v>45389</v>
      </c>
      <c r="B798" t="s">
        <v>25</v>
      </c>
      <c r="C798" t="s">
        <v>11</v>
      </c>
      <c r="D798" t="s">
        <v>12</v>
      </c>
      <c r="E798">
        <v>3285</v>
      </c>
      <c r="F798">
        <v>1.25</v>
      </c>
      <c r="G798">
        <v>1.05</v>
      </c>
      <c r="H798">
        <v>4106.25</v>
      </c>
      <c r="I798">
        <v>3449.25</v>
      </c>
      <c r="J798">
        <v>657</v>
      </c>
      <c r="K798" t="s">
        <v>38</v>
      </c>
    </row>
    <row r="799" spans="1:11" x14ac:dyDescent="0.2">
      <c r="A799" s="1">
        <v>45629</v>
      </c>
      <c r="B799" t="s">
        <v>15</v>
      </c>
      <c r="C799" t="s">
        <v>17</v>
      </c>
      <c r="D799" t="s">
        <v>18</v>
      </c>
      <c r="E799">
        <v>1219</v>
      </c>
      <c r="F799">
        <v>1.2</v>
      </c>
      <c r="G799">
        <v>1</v>
      </c>
      <c r="H799">
        <v>1462.8</v>
      </c>
      <c r="I799">
        <v>1219</v>
      </c>
      <c r="J799">
        <v>243.79999999999899</v>
      </c>
      <c r="K799" t="s">
        <v>46</v>
      </c>
    </row>
    <row r="800" spans="1:11" x14ac:dyDescent="0.2">
      <c r="A800" s="1">
        <v>45577</v>
      </c>
      <c r="B800" t="s">
        <v>10</v>
      </c>
      <c r="C800" t="s">
        <v>29</v>
      </c>
      <c r="D800" t="s">
        <v>18</v>
      </c>
      <c r="E800">
        <v>905</v>
      </c>
      <c r="F800">
        <v>1.2</v>
      </c>
      <c r="G800">
        <v>1</v>
      </c>
      <c r="H800">
        <v>1086</v>
      </c>
      <c r="I800">
        <v>905</v>
      </c>
      <c r="J800">
        <v>181</v>
      </c>
      <c r="K800" t="s">
        <v>44</v>
      </c>
    </row>
    <row r="801" spans="1:11" x14ac:dyDescent="0.2">
      <c r="A801" s="1">
        <v>45626</v>
      </c>
      <c r="B801" t="s">
        <v>31</v>
      </c>
      <c r="C801" t="s">
        <v>23</v>
      </c>
      <c r="D801" t="s">
        <v>12</v>
      </c>
      <c r="E801">
        <v>2794</v>
      </c>
      <c r="F801">
        <v>1.25</v>
      </c>
      <c r="G801">
        <v>1.05</v>
      </c>
      <c r="H801">
        <v>3492.5</v>
      </c>
      <c r="I801">
        <v>2933.7</v>
      </c>
      <c r="J801">
        <v>558.79999999999905</v>
      </c>
      <c r="K801" t="s">
        <v>45</v>
      </c>
    </row>
    <row r="802" spans="1:11" x14ac:dyDescent="0.2">
      <c r="A802" s="1">
        <v>45638</v>
      </c>
      <c r="B802" t="s">
        <v>31</v>
      </c>
      <c r="C802" t="s">
        <v>20</v>
      </c>
      <c r="D802" t="s">
        <v>18</v>
      </c>
      <c r="E802">
        <v>571</v>
      </c>
      <c r="F802">
        <v>1.2</v>
      </c>
      <c r="G802">
        <v>1</v>
      </c>
      <c r="H802">
        <v>685.19999999999902</v>
      </c>
      <c r="I802">
        <v>571</v>
      </c>
      <c r="J802">
        <v>114.19999999999899</v>
      </c>
      <c r="K802" t="s">
        <v>46</v>
      </c>
    </row>
    <row r="803" spans="1:11" x14ac:dyDescent="0.2">
      <c r="A803" s="1">
        <v>45599</v>
      </c>
      <c r="B803" t="s">
        <v>13</v>
      </c>
      <c r="C803" t="s">
        <v>23</v>
      </c>
      <c r="D803" t="s">
        <v>18</v>
      </c>
      <c r="E803">
        <v>2553</v>
      </c>
      <c r="F803">
        <v>1.2</v>
      </c>
      <c r="G803">
        <v>1</v>
      </c>
      <c r="H803">
        <v>3063.6</v>
      </c>
      <c r="I803">
        <v>2553</v>
      </c>
      <c r="J803">
        <v>510.599999999999</v>
      </c>
      <c r="K803" t="s">
        <v>45</v>
      </c>
    </row>
    <row r="804" spans="1:11" x14ac:dyDescent="0.2">
      <c r="A804" s="1">
        <v>45540</v>
      </c>
      <c r="B804" t="s">
        <v>32</v>
      </c>
      <c r="C804" t="s">
        <v>29</v>
      </c>
      <c r="D804" t="s">
        <v>12</v>
      </c>
      <c r="E804">
        <v>1729</v>
      </c>
      <c r="F804">
        <v>1.25</v>
      </c>
      <c r="G804">
        <v>1.05</v>
      </c>
      <c r="H804">
        <v>2161.25</v>
      </c>
      <c r="I804">
        <v>1815.45</v>
      </c>
      <c r="J804">
        <v>345.79999999999899</v>
      </c>
      <c r="K804" t="s">
        <v>43</v>
      </c>
    </row>
    <row r="805" spans="1:11" x14ac:dyDescent="0.2">
      <c r="A805" s="1">
        <v>45457</v>
      </c>
      <c r="B805" t="s">
        <v>27</v>
      </c>
      <c r="C805" t="s">
        <v>11</v>
      </c>
      <c r="D805" t="s">
        <v>12</v>
      </c>
      <c r="E805">
        <v>2067</v>
      </c>
      <c r="F805">
        <v>1.25</v>
      </c>
      <c r="G805">
        <v>1.05</v>
      </c>
      <c r="H805">
        <v>2583.75</v>
      </c>
      <c r="I805">
        <v>2170.35</v>
      </c>
      <c r="J805">
        <v>413.4</v>
      </c>
      <c r="K805" t="s">
        <v>40</v>
      </c>
    </row>
    <row r="806" spans="1:11" x14ac:dyDescent="0.2">
      <c r="A806" s="1">
        <v>45626</v>
      </c>
      <c r="B806" t="s">
        <v>24</v>
      </c>
      <c r="C806" t="s">
        <v>11</v>
      </c>
      <c r="D806" t="s">
        <v>12</v>
      </c>
      <c r="E806">
        <v>4182</v>
      </c>
      <c r="F806">
        <v>1.25</v>
      </c>
      <c r="G806">
        <v>1.05</v>
      </c>
      <c r="H806">
        <v>5227.5</v>
      </c>
      <c r="I806">
        <v>4391.1000000000004</v>
      </c>
      <c r="J806">
        <v>836.39999999999895</v>
      </c>
      <c r="K806" t="s">
        <v>45</v>
      </c>
    </row>
    <row r="807" spans="1:11" x14ac:dyDescent="0.2">
      <c r="A807" s="1">
        <v>45321</v>
      </c>
      <c r="B807" t="s">
        <v>16</v>
      </c>
      <c r="C807" t="s">
        <v>11</v>
      </c>
      <c r="D807" t="s">
        <v>12</v>
      </c>
      <c r="E807">
        <v>3453</v>
      </c>
      <c r="F807">
        <v>1.25</v>
      </c>
      <c r="G807">
        <v>1.05</v>
      </c>
      <c r="H807">
        <v>4316.25</v>
      </c>
      <c r="I807">
        <v>3625.65</v>
      </c>
      <c r="J807">
        <v>690.599999999999</v>
      </c>
      <c r="K807" t="s">
        <v>35</v>
      </c>
    </row>
    <row r="808" spans="1:11" x14ac:dyDescent="0.2">
      <c r="A808" s="1">
        <v>45538</v>
      </c>
      <c r="B808" t="s">
        <v>31</v>
      </c>
      <c r="C808" t="s">
        <v>20</v>
      </c>
      <c r="D808" t="s">
        <v>14</v>
      </c>
      <c r="E808">
        <v>4982</v>
      </c>
      <c r="F808">
        <v>0.9</v>
      </c>
      <c r="G808">
        <v>0.7</v>
      </c>
      <c r="H808">
        <v>4483.8</v>
      </c>
      <c r="I808">
        <v>3487.3999999999901</v>
      </c>
      <c r="J808">
        <v>996.4</v>
      </c>
      <c r="K808" t="s">
        <v>43</v>
      </c>
    </row>
    <row r="809" spans="1:11" x14ac:dyDescent="0.2">
      <c r="A809" s="1">
        <v>45397</v>
      </c>
      <c r="B809" t="s">
        <v>25</v>
      </c>
      <c r="C809" t="s">
        <v>17</v>
      </c>
      <c r="D809" t="s">
        <v>12</v>
      </c>
      <c r="E809">
        <v>1198</v>
      </c>
      <c r="F809">
        <v>1.25</v>
      </c>
      <c r="G809">
        <v>1.05</v>
      </c>
      <c r="H809">
        <v>1497.5</v>
      </c>
      <c r="I809">
        <v>1257.9000000000001</v>
      </c>
      <c r="J809">
        <v>239.599999999999</v>
      </c>
      <c r="K809" t="s">
        <v>38</v>
      </c>
    </row>
    <row r="810" spans="1:11" x14ac:dyDescent="0.2">
      <c r="A810" s="1">
        <v>45342</v>
      </c>
      <c r="B810" t="s">
        <v>19</v>
      </c>
      <c r="C810" t="s">
        <v>17</v>
      </c>
      <c r="D810" t="s">
        <v>18</v>
      </c>
      <c r="E810">
        <v>5796</v>
      </c>
      <c r="F810">
        <v>1.2</v>
      </c>
      <c r="G810">
        <v>1</v>
      </c>
      <c r="H810">
        <v>6955.2</v>
      </c>
      <c r="I810">
        <v>5796</v>
      </c>
      <c r="J810">
        <v>1159.19999999999</v>
      </c>
      <c r="K810" t="s">
        <v>36</v>
      </c>
    </row>
    <row r="811" spans="1:11" x14ac:dyDescent="0.2">
      <c r="A811" s="1">
        <v>45372</v>
      </c>
      <c r="B811" t="s">
        <v>16</v>
      </c>
      <c r="C811" t="s">
        <v>23</v>
      </c>
      <c r="D811" t="s">
        <v>12</v>
      </c>
      <c r="E811">
        <v>1326</v>
      </c>
      <c r="F811">
        <v>1.25</v>
      </c>
      <c r="G811">
        <v>1.05</v>
      </c>
      <c r="H811">
        <v>1657.5</v>
      </c>
      <c r="I811">
        <v>1392.3</v>
      </c>
      <c r="J811">
        <v>265.2</v>
      </c>
      <c r="K811" t="s">
        <v>37</v>
      </c>
    </row>
    <row r="812" spans="1:11" x14ac:dyDescent="0.2">
      <c r="A812" s="1">
        <v>45424</v>
      </c>
      <c r="B812" t="s">
        <v>30</v>
      </c>
      <c r="C812" t="s">
        <v>20</v>
      </c>
      <c r="D812" t="s">
        <v>12</v>
      </c>
      <c r="E812">
        <v>848</v>
      </c>
      <c r="F812">
        <v>1.25</v>
      </c>
      <c r="G812">
        <v>1.05</v>
      </c>
      <c r="H812">
        <v>1060</v>
      </c>
      <c r="I812">
        <v>890.4</v>
      </c>
      <c r="J812">
        <v>169.599999999999</v>
      </c>
      <c r="K812" t="s">
        <v>39</v>
      </c>
    </row>
    <row r="813" spans="1:11" x14ac:dyDescent="0.2">
      <c r="A813" s="1">
        <v>45576</v>
      </c>
      <c r="B813" t="s">
        <v>15</v>
      </c>
      <c r="C813" t="s">
        <v>11</v>
      </c>
      <c r="D813" t="s">
        <v>18</v>
      </c>
      <c r="E813">
        <v>5874</v>
      </c>
      <c r="F813">
        <v>1.2</v>
      </c>
      <c r="G813">
        <v>1</v>
      </c>
      <c r="H813">
        <v>7048.8</v>
      </c>
      <c r="I813">
        <v>5874</v>
      </c>
      <c r="J813">
        <v>1174.8</v>
      </c>
      <c r="K813" t="s">
        <v>44</v>
      </c>
    </row>
    <row r="814" spans="1:11" x14ac:dyDescent="0.2">
      <c r="A814" s="1">
        <v>45429</v>
      </c>
      <c r="B814" t="s">
        <v>31</v>
      </c>
      <c r="C814" t="s">
        <v>11</v>
      </c>
      <c r="D814" t="s">
        <v>18</v>
      </c>
      <c r="E814">
        <v>4408</v>
      </c>
      <c r="F814">
        <v>1.2</v>
      </c>
      <c r="G814">
        <v>1</v>
      </c>
      <c r="H814">
        <v>5289.5999999999904</v>
      </c>
      <c r="I814">
        <v>4408</v>
      </c>
      <c r="J814">
        <v>881.599999999999</v>
      </c>
      <c r="K814" t="s">
        <v>39</v>
      </c>
    </row>
    <row r="815" spans="1:11" x14ac:dyDescent="0.2">
      <c r="A815" s="1">
        <v>45475</v>
      </c>
      <c r="B815" t="s">
        <v>19</v>
      </c>
      <c r="C815" t="s">
        <v>29</v>
      </c>
      <c r="D815" t="s">
        <v>12</v>
      </c>
      <c r="E815">
        <v>807</v>
      </c>
      <c r="F815">
        <v>1.25</v>
      </c>
      <c r="G815">
        <v>1.05</v>
      </c>
      <c r="H815">
        <v>1008.75</v>
      </c>
      <c r="I815">
        <v>847.35</v>
      </c>
      <c r="J815">
        <v>161.39999999999901</v>
      </c>
      <c r="K815" t="s">
        <v>41</v>
      </c>
    </row>
    <row r="816" spans="1:11" x14ac:dyDescent="0.2">
      <c r="A816" s="1">
        <v>45621</v>
      </c>
      <c r="B816" t="s">
        <v>31</v>
      </c>
      <c r="C816" t="s">
        <v>29</v>
      </c>
      <c r="D816" t="s">
        <v>12</v>
      </c>
      <c r="E816">
        <v>3916</v>
      </c>
      <c r="F816">
        <v>1.25</v>
      </c>
      <c r="G816">
        <v>1.05</v>
      </c>
      <c r="H816">
        <v>4895</v>
      </c>
      <c r="I816">
        <v>4111.8</v>
      </c>
      <c r="J816">
        <v>783.19999999999902</v>
      </c>
      <c r="K816" t="s">
        <v>45</v>
      </c>
    </row>
    <row r="817" spans="1:11" x14ac:dyDescent="0.2">
      <c r="A817" s="1">
        <v>45564</v>
      </c>
      <c r="B817" t="s">
        <v>24</v>
      </c>
      <c r="C817" t="s">
        <v>11</v>
      </c>
      <c r="D817" t="s">
        <v>12</v>
      </c>
      <c r="E817">
        <v>5746</v>
      </c>
      <c r="F817">
        <v>1.25</v>
      </c>
      <c r="G817">
        <v>1.05</v>
      </c>
      <c r="H817">
        <v>7182.5</v>
      </c>
      <c r="I817">
        <v>6033.3</v>
      </c>
      <c r="J817">
        <v>1149.19999999999</v>
      </c>
      <c r="K817" t="s">
        <v>43</v>
      </c>
    </row>
    <row r="818" spans="1:11" x14ac:dyDescent="0.2">
      <c r="A818" s="1">
        <v>45631</v>
      </c>
      <c r="B818" t="s">
        <v>30</v>
      </c>
      <c r="C818" t="s">
        <v>11</v>
      </c>
      <c r="D818" t="s">
        <v>12</v>
      </c>
      <c r="E818">
        <v>2834</v>
      </c>
      <c r="F818">
        <v>1.25</v>
      </c>
      <c r="G818">
        <v>1.05</v>
      </c>
      <c r="H818">
        <v>3542.5</v>
      </c>
      <c r="I818">
        <v>2975.7</v>
      </c>
      <c r="J818">
        <v>566.79999999999905</v>
      </c>
      <c r="K818" t="s">
        <v>46</v>
      </c>
    </row>
    <row r="819" spans="1:11" x14ac:dyDescent="0.2">
      <c r="A819" s="1">
        <v>45360</v>
      </c>
      <c r="B819" t="s">
        <v>26</v>
      </c>
      <c r="C819" t="s">
        <v>20</v>
      </c>
      <c r="D819" t="s">
        <v>18</v>
      </c>
      <c r="E819">
        <v>5361</v>
      </c>
      <c r="F819">
        <v>1.2</v>
      </c>
      <c r="G819">
        <v>1</v>
      </c>
      <c r="H819">
        <v>6433.2</v>
      </c>
      <c r="I819">
        <v>5361</v>
      </c>
      <c r="J819">
        <v>1072.19999999999</v>
      </c>
      <c r="K819" t="s">
        <v>37</v>
      </c>
    </row>
    <row r="820" spans="1:11" x14ac:dyDescent="0.2">
      <c r="A820" s="1">
        <v>45325</v>
      </c>
      <c r="B820" t="s">
        <v>31</v>
      </c>
      <c r="C820" t="s">
        <v>17</v>
      </c>
      <c r="D820" t="s">
        <v>12</v>
      </c>
      <c r="E820">
        <v>5320</v>
      </c>
      <c r="F820">
        <v>1.25</v>
      </c>
      <c r="G820">
        <v>1.05</v>
      </c>
      <c r="H820">
        <v>6650</v>
      </c>
      <c r="I820">
        <v>5586</v>
      </c>
      <c r="J820">
        <v>1064</v>
      </c>
      <c r="K820" t="s">
        <v>36</v>
      </c>
    </row>
    <row r="821" spans="1:11" x14ac:dyDescent="0.2">
      <c r="A821" s="1">
        <v>45553</v>
      </c>
      <c r="B821" t="s">
        <v>10</v>
      </c>
      <c r="C821" t="s">
        <v>29</v>
      </c>
      <c r="D821" t="s">
        <v>12</v>
      </c>
      <c r="E821">
        <v>3309</v>
      </c>
      <c r="F821">
        <v>1.25</v>
      </c>
      <c r="G821">
        <v>1.05</v>
      </c>
      <c r="H821">
        <v>4136.25</v>
      </c>
      <c r="I821">
        <v>3474.45</v>
      </c>
      <c r="J821">
        <v>661.79999999999905</v>
      </c>
      <c r="K821" t="s">
        <v>43</v>
      </c>
    </row>
    <row r="822" spans="1:11" x14ac:dyDescent="0.2">
      <c r="A822" s="1">
        <v>45344</v>
      </c>
      <c r="B822" t="s">
        <v>25</v>
      </c>
      <c r="C822" t="s">
        <v>17</v>
      </c>
      <c r="D822" t="s">
        <v>12</v>
      </c>
      <c r="E822">
        <v>4058</v>
      </c>
      <c r="F822">
        <v>1.25</v>
      </c>
      <c r="G822">
        <v>1.05</v>
      </c>
      <c r="H822">
        <v>5072.5</v>
      </c>
      <c r="I822">
        <v>4260.8999999999996</v>
      </c>
      <c r="J822">
        <v>811.599999999999</v>
      </c>
      <c r="K822" t="s">
        <v>36</v>
      </c>
    </row>
    <row r="823" spans="1:11" x14ac:dyDescent="0.2">
      <c r="A823" s="1">
        <v>45496</v>
      </c>
      <c r="B823" t="s">
        <v>31</v>
      </c>
      <c r="C823" t="s">
        <v>20</v>
      </c>
      <c r="D823" t="s">
        <v>14</v>
      </c>
      <c r="E823">
        <v>4978</v>
      </c>
      <c r="F823">
        <v>0.9</v>
      </c>
      <c r="G823">
        <v>0.7</v>
      </c>
      <c r="H823">
        <v>4480.2</v>
      </c>
      <c r="I823">
        <v>3484.6</v>
      </c>
      <c r="J823">
        <v>995.599999999999</v>
      </c>
      <c r="K823" t="s">
        <v>41</v>
      </c>
    </row>
    <row r="824" spans="1:11" x14ac:dyDescent="0.2">
      <c r="A824" s="1">
        <v>45417</v>
      </c>
      <c r="B824" t="s">
        <v>27</v>
      </c>
      <c r="C824" t="s">
        <v>11</v>
      </c>
      <c r="D824" t="s">
        <v>14</v>
      </c>
      <c r="E824">
        <v>3977</v>
      </c>
      <c r="F824">
        <v>0.9</v>
      </c>
      <c r="G824">
        <v>0.7</v>
      </c>
      <c r="H824">
        <v>3579.3</v>
      </c>
      <c r="I824">
        <v>2783.8999999999901</v>
      </c>
      <c r="J824">
        <v>795.4</v>
      </c>
      <c r="K824" t="s">
        <v>39</v>
      </c>
    </row>
    <row r="825" spans="1:11" x14ac:dyDescent="0.2">
      <c r="A825" s="1">
        <v>45526</v>
      </c>
      <c r="B825" t="s">
        <v>16</v>
      </c>
      <c r="C825" t="s">
        <v>17</v>
      </c>
      <c r="D825" t="s">
        <v>12</v>
      </c>
      <c r="E825">
        <v>5120</v>
      </c>
      <c r="F825">
        <v>1.25</v>
      </c>
      <c r="G825">
        <v>1.05</v>
      </c>
      <c r="H825">
        <v>6400</v>
      </c>
      <c r="I825">
        <v>5376</v>
      </c>
      <c r="J825">
        <v>1024</v>
      </c>
      <c r="K825" t="s">
        <v>42</v>
      </c>
    </row>
    <row r="826" spans="1:11" x14ac:dyDescent="0.2">
      <c r="A826" s="1">
        <v>45334</v>
      </c>
      <c r="B826" t="s">
        <v>16</v>
      </c>
      <c r="C826" t="s">
        <v>11</v>
      </c>
      <c r="D826" t="s">
        <v>18</v>
      </c>
      <c r="E826">
        <v>3186</v>
      </c>
      <c r="F826">
        <v>1.2</v>
      </c>
      <c r="G826">
        <v>1</v>
      </c>
      <c r="H826">
        <v>3823.2</v>
      </c>
      <c r="I826">
        <v>3186</v>
      </c>
      <c r="J826">
        <v>637.19999999999902</v>
      </c>
      <c r="K826" t="s">
        <v>36</v>
      </c>
    </row>
    <row r="827" spans="1:11" x14ac:dyDescent="0.2">
      <c r="A827" s="1">
        <v>45531</v>
      </c>
      <c r="B827" t="s">
        <v>24</v>
      </c>
      <c r="C827" t="s">
        <v>11</v>
      </c>
      <c r="D827" t="s">
        <v>12</v>
      </c>
      <c r="E827">
        <v>3485</v>
      </c>
      <c r="F827">
        <v>1.25</v>
      </c>
      <c r="G827">
        <v>1.05</v>
      </c>
      <c r="H827">
        <v>4356.25</v>
      </c>
      <c r="I827">
        <v>3659.25</v>
      </c>
      <c r="J827">
        <v>697</v>
      </c>
      <c r="K827" t="s">
        <v>42</v>
      </c>
    </row>
    <row r="828" spans="1:11" x14ac:dyDescent="0.2">
      <c r="A828" s="1">
        <v>45402</v>
      </c>
      <c r="B828" t="s">
        <v>25</v>
      </c>
      <c r="C828" t="s">
        <v>23</v>
      </c>
      <c r="D828" t="s">
        <v>12</v>
      </c>
      <c r="E828">
        <v>775</v>
      </c>
      <c r="F828">
        <v>1.25</v>
      </c>
      <c r="G828">
        <v>1.05</v>
      </c>
      <c r="H828">
        <v>968.75</v>
      </c>
      <c r="I828">
        <v>813.75</v>
      </c>
      <c r="J828">
        <v>155</v>
      </c>
      <c r="K828" t="s">
        <v>38</v>
      </c>
    </row>
    <row r="829" spans="1:11" x14ac:dyDescent="0.2">
      <c r="A829" s="1">
        <v>45540</v>
      </c>
      <c r="B829" t="s">
        <v>30</v>
      </c>
      <c r="C829" t="s">
        <v>17</v>
      </c>
      <c r="D829" t="s">
        <v>18</v>
      </c>
      <c r="E829">
        <v>3047</v>
      </c>
      <c r="F829">
        <v>1.2</v>
      </c>
      <c r="G829">
        <v>1</v>
      </c>
      <c r="H829">
        <v>3656.4</v>
      </c>
      <c r="I829">
        <v>3047</v>
      </c>
      <c r="J829">
        <v>609.4</v>
      </c>
      <c r="K829" t="s">
        <v>43</v>
      </c>
    </row>
    <row r="830" spans="1:11" x14ac:dyDescent="0.2">
      <c r="A830" s="1">
        <v>45442</v>
      </c>
      <c r="B830" t="s">
        <v>10</v>
      </c>
      <c r="C830" t="s">
        <v>17</v>
      </c>
      <c r="D830" t="s">
        <v>14</v>
      </c>
      <c r="E830">
        <v>3264</v>
      </c>
      <c r="F830">
        <v>0.9</v>
      </c>
      <c r="G830">
        <v>0.7</v>
      </c>
      <c r="H830">
        <v>2937.6</v>
      </c>
      <c r="I830">
        <v>2284.7999999999902</v>
      </c>
      <c r="J830">
        <v>652.79999999999995</v>
      </c>
      <c r="K830" t="s">
        <v>39</v>
      </c>
    </row>
    <row r="831" spans="1:11" x14ac:dyDescent="0.2">
      <c r="A831" s="1">
        <v>45474</v>
      </c>
      <c r="B831" t="s">
        <v>22</v>
      </c>
      <c r="C831" t="s">
        <v>11</v>
      </c>
      <c r="D831" t="s">
        <v>14</v>
      </c>
      <c r="E831">
        <v>836</v>
      </c>
      <c r="F831">
        <v>0.9</v>
      </c>
      <c r="G831">
        <v>0.7</v>
      </c>
      <c r="H831">
        <v>752.4</v>
      </c>
      <c r="I831">
        <v>585.19999999999902</v>
      </c>
      <c r="J831">
        <v>167.2</v>
      </c>
      <c r="K831" t="s">
        <v>41</v>
      </c>
    </row>
    <row r="832" spans="1:11" x14ac:dyDescent="0.2">
      <c r="A832" s="1">
        <v>45627</v>
      </c>
      <c r="B832" t="s">
        <v>25</v>
      </c>
      <c r="C832" t="s">
        <v>20</v>
      </c>
      <c r="D832" t="s">
        <v>18</v>
      </c>
      <c r="E832">
        <v>2473</v>
      </c>
      <c r="F832">
        <v>1.2</v>
      </c>
      <c r="G832">
        <v>1</v>
      </c>
      <c r="H832">
        <v>2967.6</v>
      </c>
      <c r="I832">
        <v>2473</v>
      </c>
      <c r="J832">
        <v>494.599999999999</v>
      </c>
      <c r="K832" t="s">
        <v>46</v>
      </c>
    </row>
    <row r="833" spans="1:11" x14ac:dyDescent="0.2">
      <c r="A833" s="1">
        <v>45386</v>
      </c>
      <c r="B833" t="s">
        <v>16</v>
      </c>
      <c r="C833" t="s">
        <v>23</v>
      </c>
      <c r="D833" t="s">
        <v>12</v>
      </c>
      <c r="E833">
        <v>3479</v>
      </c>
      <c r="F833">
        <v>1.25</v>
      </c>
      <c r="G833">
        <v>1.05</v>
      </c>
      <c r="H833">
        <v>4348.75</v>
      </c>
      <c r="I833">
        <v>3652.95</v>
      </c>
      <c r="J833">
        <v>695.79999999999905</v>
      </c>
      <c r="K833" t="s">
        <v>38</v>
      </c>
    </row>
    <row r="834" spans="1:11" x14ac:dyDescent="0.2">
      <c r="A834" s="1">
        <v>45299</v>
      </c>
      <c r="B834" t="s">
        <v>27</v>
      </c>
      <c r="C834" t="s">
        <v>11</v>
      </c>
      <c r="D834" t="s">
        <v>18</v>
      </c>
      <c r="E834">
        <v>5076</v>
      </c>
      <c r="F834">
        <v>1.2</v>
      </c>
      <c r="G834">
        <v>1</v>
      </c>
      <c r="H834">
        <v>6091.2</v>
      </c>
      <c r="I834">
        <v>5076</v>
      </c>
      <c r="J834">
        <v>1015.19999999999</v>
      </c>
      <c r="K834" t="s">
        <v>35</v>
      </c>
    </row>
    <row r="835" spans="1:11" x14ac:dyDescent="0.2">
      <c r="A835" s="1">
        <v>45651</v>
      </c>
      <c r="B835" t="s">
        <v>26</v>
      </c>
      <c r="C835" t="s">
        <v>29</v>
      </c>
      <c r="D835" t="s">
        <v>12</v>
      </c>
      <c r="E835">
        <v>4468</v>
      </c>
      <c r="F835">
        <v>1.25</v>
      </c>
      <c r="G835">
        <v>1.05</v>
      </c>
      <c r="H835">
        <v>5585</v>
      </c>
      <c r="I835">
        <v>4691.3999999999996</v>
      </c>
      <c r="J835">
        <v>893.599999999999</v>
      </c>
      <c r="K835" t="s">
        <v>46</v>
      </c>
    </row>
    <row r="836" spans="1:11" x14ac:dyDescent="0.2">
      <c r="A836" s="1">
        <v>45475</v>
      </c>
      <c r="B836" t="s">
        <v>24</v>
      </c>
      <c r="C836" t="s">
        <v>29</v>
      </c>
      <c r="D836" t="s">
        <v>18</v>
      </c>
      <c r="E836">
        <v>1410</v>
      </c>
      <c r="F836">
        <v>1.2</v>
      </c>
      <c r="G836">
        <v>1</v>
      </c>
      <c r="H836">
        <v>1692</v>
      </c>
      <c r="I836">
        <v>1410</v>
      </c>
      <c r="J836">
        <v>282</v>
      </c>
      <c r="K836" t="s">
        <v>41</v>
      </c>
    </row>
    <row r="837" spans="1:11" x14ac:dyDescent="0.2">
      <c r="A837" s="1">
        <v>45572</v>
      </c>
      <c r="B837" t="s">
        <v>22</v>
      </c>
      <c r="C837" t="s">
        <v>23</v>
      </c>
      <c r="D837" t="s">
        <v>12</v>
      </c>
      <c r="E837">
        <v>2496</v>
      </c>
      <c r="F837">
        <v>1.25</v>
      </c>
      <c r="G837">
        <v>1.05</v>
      </c>
      <c r="H837">
        <v>3120</v>
      </c>
      <c r="I837">
        <v>2620.8000000000002</v>
      </c>
      <c r="J837">
        <v>499.19999999999902</v>
      </c>
      <c r="K837" t="s">
        <v>44</v>
      </c>
    </row>
    <row r="838" spans="1:11" x14ac:dyDescent="0.2">
      <c r="A838" s="1">
        <v>45486</v>
      </c>
      <c r="B838" t="s">
        <v>27</v>
      </c>
      <c r="C838" t="s">
        <v>20</v>
      </c>
      <c r="D838" t="s">
        <v>18</v>
      </c>
      <c r="E838">
        <v>3629</v>
      </c>
      <c r="F838">
        <v>1.2</v>
      </c>
      <c r="G838">
        <v>1</v>
      </c>
      <c r="H838">
        <v>4354.8</v>
      </c>
      <c r="I838">
        <v>3629</v>
      </c>
      <c r="J838">
        <v>725.8</v>
      </c>
      <c r="K838" t="s">
        <v>41</v>
      </c>
    </row>
    <row r="839" spans="1:11" x14ac:dyDescent="0.2">
      <c r="A839" s="1">
        <v>45643</v>
      </c>
      <c r="B839" t="s">
        <v>30</v>
      </c>
      <c r="C839" t="s">
        <v>11</v>
      </c>
      <c r="D839" t="s">
        <v>12</v>
      </c>
      <c r="E839">
        <v>5947</v>
      </c>
      <c r="F839">
        <v>1.25</v>
      </c>
      <c r="G839">
        <v>1.05</v>
      </c>
      <c r="H839">
        <v>7433.75</v>
      </c>
      <c r="I839">
        <v>6244.35</v>
      </c>
      <c r="J839">
        <v>1189.3999999999901</v>
      </c>
      <c r="K839" t="s">
        <v>46</v>
      </c>
    </row>
    <row r="840" spans="1:11" x14ac:dyDescent="0.2">
      <c r="A840" s="1">
        <v>45486</v>
      </c>
      <c r="B840" t="s">
        <v>15</v>
      </c>
      <c r="C840" t="s">
        <v>17</v>
      </c>
      <c r="D840" t="s">
        <v>12</v>
      </c>
      <c r="E840">
        <v>4704</v>
      </c>
      <c r="F840">
        <v>1.25</v>
      </c>
      <c r="G840">
        <v>1.05</v>
      </c>
      <c r="H840">
        <v>5880</v>
      </c>
      <c r="I840">
        <v>4939.2</v>
      </c>
      <c r="J840">
        <v>940.8</v>
      </c>
      <c r="K840" t="s">
        <v>41</v>
      </c>
    </row>
    <row r="841" spans="1:11" x14ac:dyDescent="0.2">
      <c r="A841" s="1">
        <v>45446</v>
      </c>
      <c r="B841" t="s">
        <v>30</v>
      </c>
      <c r="C841" t="s">
        <v>23</v>
      </c>
      <c r="D841" t="s">
        <v>14</v>
      </c>
      <c r="E841">
        <v>4257</v>
      </c>
      <c r="F841">
        <v>0.9</v>
      </c>
      <c r="G841">
        <v>0.7</v>
      </c>
      <c r="H841">
        <v>3831.3</v>
      </c>
      <c r="I841">
        <v>2979.8999999999901</v>
      </c>
      <c r="J841">
        <v>851.4</v>
      </c>
      <c r="K841" t="s">
        <v>40</v>
      </c>
    </row>
    <row r="842" spans="1:11" x14ac:dyDescent="0.2">
      <c r="A842" s="1">
        <v>45384</v>
      </c>
      <c r="B842" t="s">
        <v>27</v>
      </c>
      <c r="C842" t="s">
        <v>20</v>
      </c>
      <c r="D842" t="s">
        <v>12</v>
      </c>
      <c r="E842">
        <v>827</v>
      </c>
      <c r="F842">
        <v>1.25</v>
      </c>
      <c r="G842">
        <v>1.05</v>
      </c>
      <c r="H842">
        <v>1033.75</v>
      </c>
      <c r="I842">
        <v>868.35</v>
      </c>
      <c r="J842">
        <v>165.39999999999901</v>
      </c>
      <c r="K842" t="s">
        <v>38</v>
      </c>
    </row>
    <row r="843" spans="1:11" x14ac:dyDescent="0.2">
      <c r="A843" s="1">
        <v>45451</v>
      </c>
      <c r="B843" t="s">
        <v>15</v>
      </c>
      <c r="C843" t="s">
        <v>17</v>
      </c>
      <c r="D843" t="s">
        <v>18</v>
      </c>
      <c r="E843">
        <v>2299</v>
      </c>
      <c r="F843">
        <v>1.2</v>
      </c>
      <c r="G843">
        <v>1</v>
      </c>
      <c r="H843">
        <v>2758.7999999999902</v>
      </c>
      <c r="I843">
        <v>2299</v>
      </c>
      <c r="J843">
        <v>459.79999999999899</v>
      </c>
      <c r="K843" t="s">
        <v>40</v>
      </c>
    </row>
    <row r="844" spans="1:11" x14ac:dyDescent="0.2">
      <c r="A844" s="1">
        <v>45352</v>
      </c>
      <c r="B844" t="s">
        <v>21</v>
      </c>
      <c r="C844" t="s">
        <v>29</v>
      </c>
      <c r="D844" t="s">
        <v>12</v>
      </c>
      <c r="E844">
        <v>814</v>
      </c>
      <c r="F844">
        <v>1.25</v>
      </c>
      <c r="G844">
        <v>1.05</v>
      </c>
      <c r="H844">
        <v>1017.5</v>
      </c>
      <c r="I844">
        <v>854.7</v>
      </c>
      <c r="J844">
        <v>162.79999999999899</v>
      </c>
      <c r="K844" t="s">
        <v>37</v>
      </c>
    </row>
    <row r="845" spans="1:11" x14ac:dyDescent="0.2">
      <c r="A845" s="1">
        <v>45413</v>
      </c>
      <c r="B845" t="s">
        <v>24</v>
      </c>
      <c r="C845" t="s">
        <v>29</v>
      </c>
      <c r="D845" t="s">
        <v>12</v>
      </c>
      <c r="E845">
        <v>4045</v>
      </c>
      <c r="F845">
        <v>1.25</v>
      </c>
      <c r="G845">
        <v>1.05</v>
      </c>
      <c r="H845">
        <v>5056.25</v>
      </c>
      <c r="I845">
        <v>4247.25</v>
      </c>
      <c r="J845">
        <v>809</v>
      </c>
      <c r="K845" t="s">
        <v>39</v>
      </c>
    </row>
    <row r="846" spans="1:11" x14ac:dyDescent="0.2">
      <c r="A846" s="1">
        <v>45342</v>
      </c>
      <c r="B846" t="s">
        <v>25</v>
      </c>
      <c r="C846" t="s">
        <v>17</v>
      </c>
      <c r="D846" t="s">
        <v>12</v>
      </c>
      <c r="E846">
        <v>1634</v>
      </c>
      <c r="F846">
        <v>1.25</v>
      </c>
      <c r="G846">
        <v>1.05</v>
      </c>
      <c r="H846">
        <v>2042.5</v>
      </c>
      <c r="I846">
        <v>1715.7</v>
      </c>
      <c r="J846">
        <v>326.79999999999899</v>
      </c>
      <c r="K846" t="s">
        <v>36</v>
      </c>
    </row>
    <row r="847" spans="1:11" x14ac:dyDescent="0.2">
      <c r="A847" s="1">
        <v>45568</v>
      </c>
      <c r="B847" t="s">
        <v>15</v>
      </c>
      <c r="C847" t="s">
        <v>23</v>
      </c>
      <c r="D847" t="s">
        <v>12</v>
      </c>
      <c r="E847">
        <v>3246</v>
      </c>
      <c r="F847">
        <v>1.25</v>
      </c>
      <c r="G847">
        <v>1.05</v>
      </c>
      <c r="H847">
        <v>4057.5</v>
      </c>
      <c r="I847">
        <v>3408.3</v>
      </c>
      <c r="J847">
        <v>649.19999999999902</v>
      </c>
      <c r="K847" t="s">
        <v>44</v>
      </c>
    </row>
    <row r="848" spans="1:11" x14ac:dyDescent="0.2">
      <c r="A848" s="1">
        <v>45296</v>
      </c>
      <c r="B848" t="s">
        <v>32</v>
      </c>
      <c r="C848" t="s">
        <v>29</v>
      </c>
      <c r="D848" t="s">
        <v>14</v>
      </c>
      <c r="E848">
        <v>5376</v>
      </c>
      <c r="F848">
        <v>0.9</v>
      </c>
      <c r="G848">
        <v>0.7</v>
      </c>
      <c r="H848">
        <v>4838.3999999999996</v>
      </c>
      <c r="I848">
        <v>3763.2</v>
      </c>
      <c r="J848">
        <v>1075.2</v>
      </c>
      <c r="K848" t="s">
        <v>35</v>
      </c>
    </row>
    <row r="849" spans="1:11" x14ac:dyDescent="0.2">
      <c r="A849" s="1">
        <v>45383</v>
      </c>
      <c r="B849" t="s">
        <v>15</v>
      </c>
      <c r="C849" t="s">
        <v>11</v>
      </c>
      <c r="D849" t="s">
        <v>12</v>
      </c>
      <c r="E849">
        <v>2020</v>
      </c>
      <c r="F849">
        <v>1.25</v>
      </c>
      <c r="G849">
        <v>1.05</v>
      </c>
      <c r="H849">
        <v>2525</v>
      </c>
      <c r="I849">
        <v>2121</v>
      </c>
      <c r="J849">
        <v>404</v>
      </c>
      <c r="K849" t="s">
        <v>38</v>
      </c>
    </row>
    <row r="850" spans="1:11" x14ac:dyDescent="0.2">
      <c r="A850" s="1">
        <v>45461</v>
      </c>
      <c r="B850" t="s">
        <v>19</v>
      </c>
      <c r="C850" t="s">
        <v>17</v>
      </c>
      <c r="D850" t="s">
        <v>14</v>
      </c>
      <c r="E850">
        <v>655</v>
      </c>
      <c r="F850">
        <v>0.9</v>
      </c>
      <c r="G850">
        <v>0.7</v>
      </c>
      <c r="H850">
        <v>589.5</v>
      </c>
      <c r="I850">
        <v>458.49999999999898</v>
      </c>
      <c r="J850">
        <v>131</v>
      </c>
      <c r="K850" t="s">
        <v>40</v>
      </c>
    </row>
    <row r="851" spans="1:11" x14ac:dyDescent="0.2">
      <c r="A851" s="1">
        <v>45608</v>
      </c>
      <c r="B851" t="s">
        <v>26</v>
      </c>
      <c r="C851" t="s">
        <v>17</v>
      </c>
      <c r="D851" t="s">
        <v>18</v>
      </c>
      <c r="E851">
        <v>2224</v>
      </c>
      <c r="F851">
        <v>1.2</v>
      </c>
      <c r="G851">
        <v>1</v>
      </c>
      <c r="H851">
        <v>2668.7999999999902</v>
      </c>
      <c r="I851">
        <v>2224</v>
      </c>
      <c r="J851">
        <v>444.79999999999899</v>
      </c>
      <c r="K851" t="s">
        <v>45</v>
      </c>
    </row>
    <row r="852" spans="1:11" x14ac:dyDescent="0.2">
      <c r="A852" s="1">
        <v>45313</v>
      </c>
      <c r="B852" t="s">
        <v>19</v>
      </c>
      <c r="C852" t="s">
        <v>29</v>
      </c>
      <c r="D852" t="s">
        <v>12</v>
      </c>
      <c r="E852">
        <v>3843</v>
      </c>
      <c r="F852">
        <v>1.25</v>
      </c>
      <c r="G852">
        <v>1.05</v>
      </c>
      <c r="H852">
        <v>4803.75</v>
      </c>
      <c r="I852">
        <v>4035.15</v>
      </c>
      <c r="J852">
        <v>768.599999999999</v>
      </c>
      <c r="K852" t="s">
        <v>35</v>
      </c>
    </row>
    <row r="853" spans="1:11" x14ac:dyDescent="0.2">
      <c r="A853" s="1">
        <v>45617</v>
      </c>
      <c r="B853" t="s">
        <v>25</v>
      </c>
      <c r="C853" t="s">
        <v>23</v>
      </c>
      <c r="D853" t="s">
        <v>18</v>
      </c>
      <c r="E853">
        <v>1386</v>
      </c>
      <c r="F853">
        <v>1.2</v>
      </c>
      <c r="G853">
        <v>1</v>
      </c>
      <c r="H853">
        <v>1663.2</v>
      </c>
      <c r="I853">
        <v>1386</v>
      </c>
      <c r="J853">
        <v>277.2</v>
      </c>
      <c r="K853" t="s">
        <v>45</v>
      </c>
    </row>
    <row r="854" spans="1:11" x14ac:dyDescent="0.2">
      <c r="A854" s="1">
        <v>45292</v>
      </c>
      <c r="B854" t="s">
        <v>25</v>
      </c>
      <c r="C854" t="s">
        <v>11</v>
      </c>
      <c r="D854" t="s">
        <v>18</v>
      </c>
      <c r="E854">
        <v>3573</v>
      </c>
      <c r="F854">
        <v>1.2</v>
      </c>
      <c r="G854">
        <v>1</v>
      </c>
      <c r="H854">
        <v>4287.5999999999904</v>
      </c>
      <c r="I854">
        <v>3573</v>
      </c>
      <c r="J854">
        <v>714.599999999999</v>
      </c>
      <c r="K854" t="s">
        <v>35</v>
      </c>
    </row>
    <row r="855" spans="1:11" x14ac:dyDescent="0.2">
      <c r="A855" s="1">
        <v>45424</v>
      </c>
      <c r="B855" t="s">
        <v>24</v>
      </c>
      <c r="C855" t="s">
        <v>23</v>
      </c>
      <c r="D855" t="s">
        <v>18</v>
      </c>
      <c r="E855">
        <v>3305</v>
      </c>
      <c r="F855">
        <v>1.2</v>
      </c>
      <c r="G855">
        <v>1</v>
      </c>
      <c r="H855">
        <v>3966</v>
      </c>
      <c r="I855">
        <v>3305</v>
      </c>
      <c r="J855">
        <v>661</v>
      </c>
      <c r="K855" t="s">
        <v>39</v>
      </c>
    </row>
    <row r="856" spans="1:11" x14ac:dyDescent="0.2">
      <c r="A856" s="1">
        <v>45524</v>
      </c>
      <c r="B856" t="s">
        <v>25</v>
      </c>
      <c r="C856" t="s">
        <v>20</v>
      </c>
      <c r="D856" t="s">
        <v>12</v>
      </c>
      <c r="E856">
        <v>1221</v>
      </c>
      <c r="F856">
        <v>1.25</v>
      </c>
      <c r="G856">
        <v>1.05</v>
      </c>
      <c r="H856">
        <v>1526.25</v>
      </c>
      <c r="I856">
        <v>1282.05</v>
      </c>
      <c r="J856">
        <v>244.2</v>
      </c>
      <c r="K856" t="s">
        <v>42</v>
      </c>
    </row>
    <row r="857" spans="1:11" x14ac:dyDescent="0.2">
      <c r="A857" s="1">
        <v>45303</v>
      </c>
      <c r="B857" t="s">
        <v>16</v>
      </c>
      <c r="C857" t="s">
        <v>20</v>
      </c>
      <c r="D857" t="s">
        <v>12</v>
      </c>
      <c r="E857">
        <v>1412</v>
      </c>
      <c r="F857">
        <v>1.25</v>
      </c>
      <c r="G857">
        <v>1.05</v>
      </c>
      <c r="H857">
        <v>1765</v>
      </c>
      <c r="I857">
        <v>1482.6</v>
      </c>
      <c r="J857">
        <v>282.39999999999901</v>
      </c>
      <c r="K857" t="s">
        <v>35</v>
      </c>
    </row>
    <row r="858" spans="1:11" x14ac:dyDescent="0.2">
      <c r="A858" s="1">
        <v>45637</v>
      </c>
      <c r="B858" t="s">
        <v>15</v>
      </c>
      <c r="C858" t="s">
        <v>29</v>
      </c>
      <c r="D858" t="s">
        <v>14</v>
      </c>
      <c r="E858">
        <v>3857</v>
      </c>
      <c r="F858">
        <v>0.9</v>
      </c>
      <c r="G858">
        <v>0.7</v>
      </c>
      <c r="H858">
        <v>3471.3</v>
      </c>
      <c r="I858">
        <v>2699.8999999999901</v>
      </c>
      <c r="J858">
        <v>771.4</v>
      </c>
      <c r="K858" t="s">
        <v>46</v>
      </c>
    </row>
    <row r="859" spans="1:11" x14ac:dyDescent="0.2">
      <c r="A859" s="1">
        <v>45337</v>
      </c>
      <c r="B859" t="s">
        <v>15</v>
      </c>
      <c r="C859" t="s">
        <v>29</v>
      </c>
      <c r="D859" t="s">
        <v>14</v>
      </c>
      <c r="E859">
        <v>1370</v>
      </c>
      <c r="F859">
        <v>0.9</v>
      </c>
      <c r="G859">
        <v>0.7</v>
      </c>
      <c r="H859">
        <v>1233</v>
      </c>
      <c r="I859">
        <v>958.99999999999898</v>
      </c>
      <c r="J859">
        <v>274</v>
      </c>
      <c r="K859" t="s">
        <v>36</v>
      </c>
    </row>
    <row r="860" spans="1:11" x14ac:dyDescent="0.2">
      <c r="A860" s="1">
        <v>45325</v>
      </c>
      <c r="B860" t="s">
        <v>21</v>
      </c>
      <c r="C860" t="s">
        <v>29</v>
      </c>
      <c r="D860" t="s">
        <v>14</v>
      </c>
      <c r="E860">
        <v>4608</v>
      </c>
      <c r="F860">
        <v>0.9</v>
      </c>
      <c r="G860">
        <v>0.7</v>
      </c>
      <c r="H860">
        <v>4147.2</v>
      </c>
      <c r="I860">
        <v>3225.6</v>
      </c>
      <c r="J860">
        <v>921.599999999999</v>
      </c>
      <c r="K860" t="s">
        <v>36</v>
      </c>
    </row>
    <row r="861" spans="1:11" x14ac:dyDescent="0.2">
      <c r="A861" s="1">
        <v>45369</v>
      </c>
      <c r="B861" t="s">
        <v>22</v>
      </c>
      <c r="C861" t="s">
        <v>20</v>
      </c>
      <c r="D861" t="s">
        <v>12</v>
      </c>
      <c r="E861">
        <v>997</v>
      </c>
      <c r="F861">
        <v>1.25</v>
      </c>
      <c r="G861">
        <v>1.05</v>
      </c>
      <c r="H861">
        <v>1246.25</v>
      </c>
      <c r="I861">
        <v>1046.8499999999999</v>
      </c>
      <c r="J861">
        <v>199.39999999999901</v>
      </c>
      <c r="K861" t="s">
        <v>37</v>
      </c>
    </row>
    <row r="862" spans="1:11" x14ac:dyDescent="0.2">
      <c r="A862" s="1">
        <v>45509</v>
      </c>
      <c r="B862" t="s">
        <v>25</v>
      </c>
      <c r="C862" t="s">
        <v>23</v>
      </c>
      <c r="D862" t="s">
        <v>18</v>
      </c>
      <c r="E862">
        <v>2256</v>
      </c>
      <c r="F862">
        <v>1.2</v>
      </c>
      <c r="G862">
        <v>1</v>
      </c>
      <c r="H862">
        <v>2707.2</v>
      </c>
      <c r="I862">
        <v>2256</v>
      </c>
      <c r="J862">
        <v>451.19999999999902</v>
      </c>
      <c r="K862" t="s">
        <v>42</v>
      </c>
    </row>
    <row r="863" spans="1:11" x14ac:dyDescent="0.2">
      <c r="A863" s="1">
        <v>45592</v>
      </c>
      <c r="B863" t="s">
        <v>19</v>
      </c>
      <c r="C863" t="s">
        <v>23</v>
      </c>
      <c r="D863" t="s">
        <v>12</v>
      </c>
      <c r="E863">
        <v>1617</v>
      </c>
      <c r="F863">
        <v>1.25</v>
      </c>
      <c r="G863">
        <v>1.05</v>
      </c>
      <c r="H863">
        <v>2021.25</v>
      </c>
      <c r="I863">
        <v>1697.85</v>
      </c>
      <c r="J863">
        <v>323.39999999999901</v>
      </c>
      <c r="K863" t="s">
        <v>44</v>
      </c>
    </row>
    <row r="864" spans="1:11" x14ac:dyDescent="0.2">
      <c r="A864" s="1">
        <v>45364</v>
      </c>
      <c r="B864" t="s">
        <v>25</v>
      </c>
      <c r="C864" t="s">
        <v>29</v>
      </c>
      <c r="D864" t="s">
        <v>12</v>
      </c>
      <c r="E864">
        <v>3909</v>
      </c>
      <c r="F864">
        <v>1.25</v>
      </c>
      <c r="G864">
        <v>1.05</v>
      </c>
      <c r="H864">
        <v>4886.25</v>
      </c>
      <c r="I864">
        <v>4104.45</v>
      </c>
      <c r="J864">
        <v>781.8</v>
      </c>
      <c r="K864" t="s">
        <v>37</v>
      </c>
    </row>
    <row r="865" spans="1:11" x14ac:dyDescent="0.2">
      <c r="A865" s="1">
        <v>45573</v>
      </c>
      <c r="B865" t="s">
        <v>30</v>
      </c>
      <c r="C865" t="s">
        <v>11</v>
      </c>
      <c r="D865" t="s">
        <v>12</v>
      </c>
      <c r="E865">
        <v>3328</v>
      </c>
      <c r="F865">
        <v>1.25</v>
      </c>
      <c r="G865">
        <v>1.05</v>
      </c>
      <c r="H865">
        <v>4160</v>
      </c>
      <c r="I865">
        <v>3494.4</v>
      </c>
      <c r="J865">
        <v>665.599999999999</v>
      </c>
      <c r="K865" t="s">
        <v>44</v>
      </c>
    </row>
    <row r="866" spans="1:11" x14ac:dyDescent="0.2">
      <c r="A866" s="1">
        <v>45540</v>
      </c>
      <c r="B866" t="s">
        <v>21</v>
      </c>
      <c r="C866" t="s">
        <v>23</v>
      </c>
      <c r="D866" t="s">
        <v>18</v>
      </c>
      <c r="E866">
        <v>5790</v>
      </c>
      <c r="F866">
        <v>1.2</v>
      </c>
      <c r="G866">
        <v>1</v>
      </c>
      <c r="H866">
        <v>6948</v>
      </c>
      <c r="I866">
        <v>5790</v>
      </c>
      <c r="J866">
        <v>1158</v>
      </c>
      <c r="K866" t="s">
        <v>43</v>
      </c>
    </row>
    <row r="867" spans="1:11" x14ac:dyDescent="0.2">
      <c r="A867" s="1">
        <v>45338</v>
      </c>
      <c r="B867" t="s">
        <v>16</v>
      </c>
      <c r="C867" t="s">
        <v>20</v>
      </c>
      <c r="D867" t="s">
        <v>12</v>
      </c>
      <c r="E867">
        <v>2147</v>
      </c>
      <c r="F867">
        <v>1.25</v>
      </c>
      <c r="G867">
        <v>1.05</v>
      </c>
      <c r="H867">
        <v>2683.75</v>
      </c>
      <c r="I867">
        <v>2254.35</v>
      </c>
      <c r="J867">
        <v>429.4</v>
      </c>
      <c r="K867" t="s">
        <v>36</v>
      </c>
    </row>
    <row r="868" spans="1:11" x14ac:dyDescent="0.2">
      <c r="A868" s="1">
        <v>45412</v>
      </c>
      <c r="B868" t="s">
        <v>16</v>
      </c>
      <c r="C868" t="s">
        <v>17</v>
      </c>
      <c r="D868" t="s">
        <v>12</v>
      </c>
      <c r="E868">
        <v>3483</v>
      </c>
      <c r="F868">
        <v>1.25</v>
      </c>
      <c r="G868">
        <v>1.05</v>
      </c>
      <c r="H868">
        <v>4353.75</v>
      </c>
      <c r="I868">
        <v>3657.15</v>
      </c>
      <c r="J868">
        <v>696.599999999999</v>
      </c>
      <c r="K868" t="s">
        <v>38</v>
      </c>
    </row>
    <row r="869" spans="1:11" x14ac:dyDescent="0.2">
      <c r="A869" s="1">
        <v>45505</v>
      </c>
      <c r="B869" t="s">
        <v>31</v>
      </c>
      <c r="C869" t="s">
        <v>17</v>
      </c>
      <c r="D869" t="s">
        <v>14</v>
      </c>
      <c r="E869">
        <v>642</v>
      </c>
      <c r="F869">
        <v>0.9</v>
      </c>
      <c r="G869">
        <v>0.7</v>
      </c>
      <c r="H869">
        <v>577.79999999999995</v>
      </c>
      <c r="I869">
        <v>449.4</v>
      </c>
      <c r="J869">
        <v>128.4</v>
      </c>
      <c r="K869" t="s">
        <v>42</v>
      </c>
    </row>
    <row r="870" spans="1:11" x14ac:dyDescent="0.2">
      <c r="A870" s="1">
        <v>45530</v>
      </c>
      <c r="B870" t="s">
        <v>15</v>
      </c>
      <c r="C870" t="s">
        <v>17</v>
      </c>
      <c r="D870" t="s">
        <v>12</v>
      </c>
      <c r="E870">
        <v>5820</v>
      </c>
      <c r="F870">
        <v>1.25</v>
      </c>
      <c r="G870">
        <v>1.05</v>
      </c>
      <c r="H870">
        <v>7275</v>
      </c>
      <c r="I870">
        <v>6111</v>
      </c>
      <c r="J870">
        <v>1164</v>
      </c>
      <c r="K870" t="s">
        <v>42</v>
      </c>
    </row>
    <row r="871" spans="1:11" x14ac:dyDescent="0.2">
      <c r="A871" s="1">
        <v>45347</v>
      </c>
      <c r="B871" t="s">
        <v>16</v>
      </c>
      <c r="C871" t="s">
        <v>11</v>
      </c>
      <c r="D871" t="s">
        <v>12</v>
      </c>
      <c r="E871">
        <v>3261</v>
      </c>
      <c r="F871">
        <v>1.25</v>
      </c>
      <c r="G871">
        <v>1.05</v>
      </c>
      <c r="H871">
        <v>4076.25</v>
      </c>
      <c r="I871">
        <v>3424.05</v>
      </c>
      <c r="J871">
        <v>652.19999999999902</v>
      </c>
      <c r="K871" t="s">
        <v>36</v>
      </c>
    </row>
    <row r="872" spans="1:11" x14ac:dyDescent="0.2">
      <c r="A872" s="1">
        <v>45641</v>
      </c>
      <c r="B872" t="s">
        <v>15</v>
      </c>
      <c r="C872" t="s">
        <v>29</v>
      </c>
      <c r="D872" t="s">
        <v>12</v>
      </c>
      <c r="E872">
        <v>3935</v>
      </c>
      <c r="F872">
        <v>1.25</v>
      </c>
      <c r="G872">
        <v>1.05</v>
      </c>
      <c r="H872">
        <v>4918.75</v>
      </c>
      <c r="I872">
        <v>4131.75</v>
      </c>
      <c r="J872">
        <v>787</v>
      </c>
      <c r="K872" t="s">
        <v>46</v>
      </c>
    </row>
    <row r="873" spans="1:11" x14ac:dyDescent="0.2">
      <c r="A873" s="1">
        <v>45398</v>
      </c>
      <c r="B873" t="s">
        <v>31</v>
      </c>
      <c r="C873" t="s">
        <v>20</v>
      </c>
      <c r="D873" t="s">
        <v>14</v>
      </c>
      <c r="E873">
        <v>5160</v>
      </c>
      <c r="F873">
        <v>0.9</v>
      </c>
      <c r="G873">
        <v>0.7</v>
      </c>
      <c r="H873">
        <v>4644</v>
      </c>
      <c r="I873">
        <v>3611.99999999999</v>
      </c>
      <c r="J873">
        <v>1032</v>
      </c>
      <c r="K873" t="s">
        <v>38</v>
      </c>
    </row>
    <row r="874" spans="1:11" x14ac:dyDescent="0.2">
      <c r="A874" s="1">
        <v>45610</v>
      </c>
      <c r="B874" t="s">
        <v>27</v>
      </c>
      <c r="C874" t="s">
        <v>11</v>
      </c>
      <c r="D874" t="s">
        <v>18</v>
      </c>
      <c r="E874">
        <v>2931</v>
      </c>
      <c r="F874">
        <v>1.2</v>
      </c>
      <c r="G874">
        <v>1</v>
      </c>
      <c r="H874">
        <v>3517.2</v>
      </c>
      <c r="I874">
        <v>2931</v>
      </c>
      <c r="J874">
        <v>586.19999999999902</v>
      </c>
      <c r="K874" t="s">
        <v>45</v>
      </c>
    </row>
    <row r="875" spans="1:11" x14ac:dyDescent="0.2">
      <c r="A875" s="1">
        <v>45339</v>
      </c>
      <c r="B875" t="s">
        <v>26</v>
      </c>
      <c r="C875" t="s">
        <v>20</v>
      </c>
      <c r="D875" t="s">
        <v>12</v>
      </c>
      <c r="E875">
        <v>5012</v>
      </c>
      <c r="F875">
        <v>1.25</v>
      </c>
      <c r="G875">
        <v>1.05</v>
      </c>
      <c r="H875">
        <v>6265</v>
      </c>
      <c r="I875">
        <v>5262.6</v>
      </c>
      <c r="J875">
        <v>1002.39999999999</v>
      </c>
      <c r="K875" t="s">
        <v>36</v>
      </c>
    </row>
    <row r="876" spans="1:11" x14ac:dyDescent="0.2">
      <c r="A876" s="1">
        <v>45352</v>
      </c>
      <c r="B876" t="s">
        <v>13</v>
      </c>
      <c r="C876" t="s">
        <v>20</v>
      </c>
      <c r="D876" t="s">
        <v>18</v>
      </c>
      <c r="E876">
        <v>2348</v>
      </c>
      <c r="F876">
        <v>1.2</v>
      </c>
      <c r="G876">
        <v>1</v>
      </c>
      <c r="H876">
        <v>2817.6</v>
      </c>
      <c r="I876">
        <v>2348</v>
      </c>
      <c r="J876">
        <v>469.599999999999</v>
      </c>
      <c r="K876" t="s">
        <v>37</v>
      </c>
    </row>
    <row r="877" spans="1:11" x14ac:dyDescent="0.2">
      <c r="A877" s="1">
        <v>45628</v>
      </c>
      <c r="B877" t="s">
        <v>10</v>
      </c>
      <c r="C877" t="s">
        <v>29</v>
      </c>
      <c r="D877" t="s">
        <v>18</v>
      </c>
      <c r="E877">
        <v>3196</v>
      </c>
      <c r="F877">
        <v>1.2</v>
      </c>
      <c r="G877">
        <v>1</v>
      </c>
      <c r="H877">
        <v>3835.2</v>
      </c>
      <c r="I877">
        <v>3196</v>
      </c>
      <c r="J877">
        <v>639.19999999999902</v>
      </c>
      <c r="K877" t="s">
        <v>46</v>
      </c>
    </row>
    <row r="878" spans="1:11" x14ac:dyDescent="0.2">
      <c r="A878" s="1">
        <v>45317</v>
      </c>
      <c r="B878" t="s">
        <v>16</v>
      </c>
      <c r="C878" t="s">
        <v>17</v>
      </c>
      <c r="D878" t="s">
        <v>12</v>
      </c>
      <c r="E878">
        <v>2217</v>
      </c>
      <c r="F878">
        <v>1.25</v>
      </c>
      <c r="G878">
        <v>1.05</v>
      </c>
      <c r="H878">
        <v>2771.25</v>
      </c>
      <c r="I878">
        <v>2327.85</v>
      </c>
      <c r="J878">
        <v>443.4</v>
      </c>
      <c r="K878" t="s">
        <v>35</v>
      </c>
    </row>
    <row r="879" spans="1:11" x14ac:dyDescent="0.2">
      <c r="A879" s="1">
        <v>45583</v>
      </c>
      <c r="B879" t="s">
        <v>22</v>
      </c>
      <c r="C879" t="s">
        <v>29</v>
      </c>
      <c r="D879" t="s">
        <v>18</v>
      </c>
      <c r="E879">
        <v>5986</v>
      </c>
      <c r="F879">
        <v>1.2</v>
      </c>
      <c r="G879">
        <v>1</v>
      </c>
      <c r="H879">
        <v>7183.2</v>
      </c>
      <c r="I879">
        <v>5986</v>
      </c>
      <c r="J879">
        <v>1197.19999999999</v>
      </c>
      <c r="K879" t="s">
        <v>44</v>
      </c>
    </row>
    <row r="880" spans="1:11" x14ac:dyDescent="0.2">
      <c r="A880" s="1">
        <v>45548</v>
      </c>
      <c r="B880" t="s">
        <v>30</v>
      </c>
      <c r="C880" t="s">
        <v>11</v>
      </c>
      <c r="D880" t="s">
        <v>18</v>
      </c>
      <c r="E880">
        <v>3572</v>
      </c>
      <c r="F880">
        <v>1.2</v>
      </c>
      <c r="G880">
        <v>1</v>
      </c>
      <c r="H880">
        <v>4286.3999999999996</v>
      </c>
      <c r="I880">
        <v>3572</v>
      </c>
      <c r="J880">
        <v>714.39999999999895</v>
      </c>
      <c r="K880" t="s">
        <v>43</v>
      </c>
    </row>
    <row r="881" spans="1:11" x14ac:dyDescent="0.2">
      <c r="A881" s="1">
        <v>45299</v>
      </c>
      <c r="B881" t="s">
        <v>28</v>
      </c>
      <c r="C881" t="s">
        <v>11</v>
      </c>
      <c r="D881" t="s">
        <v>18</v>
      </c>
      <c r="E881">
        <v>1567</v>
      </c>
      <c r="F881">
        <v>1.2</v>
      </c>
      <c r="G881">
        <v>1</v>
      </c>
      <c r="H881">
        <v>1880.3999999999901</v>
      </c>
      <c r="I881">
        <v>1567</v>
      </c>
      <c r="J881">
        <v>313.39999999999901</v>
      </c>
      <c r="K881" t="s">
        <v>35</v>
      </c>
    </row>
    <row r="882" spans="1:11" x14ac:dyDescent="0.2">
      <c r="A882" s="1">
        <v>45404</v>
      </c>
      <c r="B882" t="s">
        <v>27</v>
      </c>
      <c r="C882" t="s">
        <v>11</v>
      </c>
      <c r="D882" t="s">
        <v>12</v>
      </c>
      <c r="E882">
        <v>3286</v>
      </c>
      <c r="F882">
        <v>1.25</v>
      </c>
      <c r="G882">
        <v>1.05</v>
      </c>
      <c r="H882">
        <v>4107.5</v>
      </c>
      <c r="I882">
        <v>3450.3</v>
      </c>
      <c r="J882">
        <v>657.19999999999902</v>
      </c>
      <c r="K882" t="s">
        <v>38</v>
      </c>
    </row>
    <row r="883" spans="1:11" x14ac:dyDescent="0.2">
      <c r="A883" s="1">
        <v>45646</v>
      </c>
      <c r="B883" t="s">
        <v>16</v>
      </c>
      <c r="C883" t="s">
        <v>29</v>
      </c>
      <c r="D883" t="s">
        <v>14</v>
      </c>
      <c r="E883">
        <v>5717</v>
      </c>
      <c r="F883">
        <v>0.9</v>
      </c>
      <c r="G883">
        <v>0.7</v>
      </c>
      <c r="H883">
        <v>5145.3</v>
      </c>
      <c r="I883">
        <v>4001.8999999999901</v>
      </c>
      <c r="J883">
        <v>1143.4000000000001</v>
      </c>
      <c r="K883" t="s">
        <v>46</v>
      </c>
    </row>
    <row r="884" spans="1:11" x14ac:dyDescent="0.2">
      <c r="A884" s="1">
        <v>45544</v>
      </c>
      <c r="B884" t="s">
        <v>15</v>
      </c>
      <c r="C884" t="s">
        <v>20</v>
      </c>
      <c r="D884" t="s">
        <v>18</v>
      </c>
      <c r="E884">
        <v>4291</v>
      </c>
      <c r="F884">
        <v>1.2</v>
      </c>
      <c r="G884">
        <v>1</v>
      </c>
      <c r="H884">
        <v>5149.2</v>
      </c>
      <c r="I884">
        <v>4291</v>
      </c>
      <c r="J884">
        <v>858.19999999999902</v>
      </c>
      <c r="K884" t="s">
        <v>43</v>
      </c>
    </row>
    <row r="885" spans="1:11" x14ac:dyDescent="0.2">
      <c r="A885" s="1">
        <v>45471</v>
      </c>
      <c r="B885" t="s">
        <v>26</v>
      </c>
      <c r="C885" t="s">
        <v>20</v>
      </c>
      <c r="D885" t="s">
        <v>12</v>
      </c>
      <c r="E885">
        <v>1788</v>
      </c>
      <c r="F885">
        <v>1.25</v>
      </c>
      <c r="G885">
        <v>1.05</v>
      </c>
      <c r="H885">
        <v>2235</v>
      </c>
      <c r="I885">
        <v>1877.4</v>
      </c>
      <c r="J885">
        <v>357.599999999999</v>
      </c>
      <c r="K885" t="s">
        <v>40</v>
      </c>
    </row>
    <row r="886" spans="1:11" x14ac:dyDescent="0.2">
      <c r="A886" s="1">
        <v>45498</v>
      </c>
      <c r="B886" t="s">
        <v>31</v>
      </c>
      <c r="C886" t="s">
        <v>23</v>
      </c>
      <c r="D886" t="s">
        <v>12</v>
      </c>
      <c r="E886">
        <v>4371</v>
      </c>
      <c r="F886">
        <v>1.25</v>
      </c>
      <c r="G886">
        <v>1.05</v>
      </c>
      <c r="H886">
        <v>5463.75</v>
      </c>
      <c r="I886">
        <v>4589.55</v>
      </c>
      <c r="J886">
        <v>874.19999999999902</v>
      </c>
      <c r="K886" t="s">
        <v>41</v>
      </c>
    </row>
    <row r="887" spans="1:11" x14ac:dyDescent="0.2">
      <c r="A887" s="1">
        <v>45594</v>
      </c>
      <c r="B887" t="s">
        <v>19</v>
      </c>
      <c r="C887" t="s">
        <v>11</v>
      </c>
      <c r="D887" t="s">
        <v>12</v>
      </c>
      <c r="E887">
        <v>2306</v>
      </c>
      <c r="F887">
        <v>1.25</v>
      </c>
      <c r="G887">
        <v>1.05</v>
      </c>
      <c r="H887">
        <v>2882.5</v>
      </c>
      <c r="I887">
        <v>2421.3000000000002</v>
      </c>
      <c r="J887">
        <v>461.19999999999902</v>
      </c>
      <c r="K887" t="s">
        <v>44</v>
      </c>
    </row>
    <row r="888" spans="1:11" x14ac:dyDescent="0.2">
      <c r="A888" s="1">
        <v>45418</v>
      </c>
      <c r="B888" t="s">
        <v>10</v>
      </c>
      <c r="C888" t="s">
        <v>20</v>
      </c>
      <c r="D888" t="s">
        <v>12</v>
      </c>
      <c r="E888">
        <v>2004</v>
      </c>
      <c r="F888">
        <v>1.25</v>
      </c>
      <c r="G888">
        <v>1.05</v>
      </c>
      <c r="H888">
        <v>2505</v>
      </c>
      <c r="I888">
        <v>2104.1999999999998</v>
      </c>
      <c r="J888">
        <v>400.79999999999899</v>
      </c>
      <c r="K888" t="s">
        <v>39</v>
      </c>
    </row>
    <row r="889" spans="1:11" x14ac:dyDescent="0.2">
      <c r="A889" s="1">
        <v>45347</v>
      </c>
      <c r="B889" t="s">
        <v>28</v>
      </c>
      <c r="C889" t="s">
        <v>23</v>
      </c>
      <c r="D889" t="s">
        <v>18</v>
      </c>
      <c r="E889">
        <v>3808</v>
      </c>
      <c r="F889">
        <v>1.2</v>
      </c>
      <c r="G889">
        <v>1</v>
      </c>
      <c r="H889">
        <v>4569.5999999999904</v>
      </c>
      <c r="I889">
        <v>3808</v>
      </c>
      <c r="J889">
        <v>761.599999999999</v>
      </c>
      <c r="K889" t="s">
        <v>36</v>
      </c>
    </row>
    <row r="890" spans="1:11" x14ac:dyDescent="0.2">
      <c r="A890" s="1">
        <v>45505</v>
      </c>
      <c r="B890" t="s">
        <v>26</v>
      </c>
      <c r="C890" t="s">
        <v>20</v>
      </c>
      <c r="D890" t="s">
        <v>12</v>
      </c>
      <c r="E890">
        <v>5612</v>
      </c>
      <c r="F890">
        <v>1.25</v>
      </c>
      <c r="G890">
        <v>1.05</v>
      </c>
      <c r="H890">
        <v>7015</v>
      </c>
      <c r="I890">
        <v>5892.6</v>
      </c>
      <c r="J890">
        <v>1122.3999999999901</v>
      </c>
      <c r="K890" t="s">
        <v>42</v>
      </c>
    </row>
    <row r="891" spans="1:11" x14ac:dyDescent="0.2">
      <c r="A891" s="1">
        <v>45305</v>
      </c>
      <c r="B891" t="s">
        <v>26</v>
      </c>
      <c r="C891" t="s">
        <v>11</v>
      </c>
      <c r="D891" t="s">
        <v>12</v>
      </c>
      <c r="E891">
        <v>5548</v>
      </c>
      <c r="F891">
        <v>1.25</v>
      </c>
      <c r="G891">
        <v>1.05</v>
      </c>
      <c r="H891">
        <v>6935</v>
      </c>
      <c r="I891">
        <v>5825.4</v>
      </c>
      <c r="J891">
        <v>1109.5999999999899</v>
      </c>
      <c r="K891" t="s">
        <v>35</v>
      </c>
    </row>
    <row r="892" spans="1:11" x14ac:dyDescent="0.2">
      <c r="A892" s="1">
        <v>45319</v>
      </c>
      <c r="B892" t="s">
        <v>16</v>
      </c>
      <c r="C892" t="s">
        <v>17</v>
      </c>
      <c r="D892" t="s">
        <v>18</v>
      </c>
      <c r="E892">
        <v>3451</v>
      </c>
      <c r="F892">
        <v>1.2</v>
      </c>
      <c r="G892">
        <v>1</v>
      </c>
      <c r="H892">
        <v>4141.2</v>
      </c>
      <c r="I892">
        <v>3451</v>
      </c>
      <c r="J892">
        <v>690.19999999999902</v>
      </c>
      <c r="K892" t="s">
        <v>35</v>
      </c>
    </row>
    <row r="893" spans="1:11" x14ac:dyDescent="0.2">
      <c r="A893" s="1">
        <v>45369</v>
      </c>
      <c r="B893" t="s">
        <v>27</v>
      </c>
      <c r="C893" t="s">
        <v>11</v>
      </c>
      <c r="D893" t="s">
        <v>12</v>
      </c>
      <c r="E893">
        <v>571</v>
      </c>
      <c r="F893">
        <v>1.25</v>
      </c>
      <c r="G893">
        <v>1.05</v>
      </c>
      <c r="H893">
        <v>713.75</v>
      </c>
      <c r="I893">
        <v>599.54999999999995</v>
      </c>
      <c r="J893">
        <v>114.19999999999899</v>
      </c>
      <c r="K893" t="s">
        <v>37</v>
      </c>
    </row>
    <row r="894" spans="1:11" x14ac:dyDescent="0.2">
      <c r="A894" s="1">
        <v>45507</v>
      </c>
      <c r="B894" t="s">
        <v>32</v>
      </c>
      <c r="C894" t="s">
        <v>29</v>
      </c>
      <c r="D894" t="s">
        <v>14</v>
      </c>
      <c r="E894">
        <v>2190</v>
      </c>
      <c r="F894">
        <v>0.9</v>
      </c>
      <c r="G894">
        <v>0.7</v>
      </c>
      <c r="H894">
        <v>1971</v>
      </c>
      <c r="I894">
        <v>1533</v>
      </c>
      <c r="J894">
        <v>438</v>
      </c>
      <c r="K894" t="s">
        <v>42</v>
      </c>
    </row>
    <row r="895" spans="1:11" x14ac:dyDescent="0.2">
      <c r="A895" s="1">
        <v>45656</v>
      </c>
      <c r="B895" t="s">
        <v>28</v>
      </c>
      <c r="C895" t="s">
        <v>20</v>
      </c>
      <c r="D895" t="s">
        <v>12</v>
      </c>
      <c r="E895">
        <v>5887</v>
      </c>
      <c r="F895">
        <v>1.25</v>
      </c>
      <c r="G895">
        <v>1.05</v>
      </c>
      <c r="H895">
        <v>7358.75</v>
      </c>
      <c r="I895">
        <v>6181.35</v>
      </c>
      <c r="J895">
        <v>1177.3999999999901</v>
      </c>
      <c r="K895" t="s">
        <v>46</v>
      </c>
    </row>
    <row r="896" spans="1:11" x14ac:dyDescent="0.2">
      <c r="A896" s="1">
        <v>45445</v>
      </c>
      <c r="B896" t="s">
        <v>10</v>
      </c>
      <c r="C896" t="s">
        <v>20</v>
      </c>
      <c r="D896" t="s">
        <v>12</v>
      </c>
      <c r="E896">
        <v>1844</v>
      </c>
      <c r="F896">
        <v>1.25</v>
      </c>
      <c r="G896">
        <v>1.05</v>
      </c>
      <c r="H896">
        <v>2305</v>
      </c>
      <c r="I896">
        <v>1936.2</v>
      </c>
      <c r="J896">
        <v>368.79999999999899</v>
      </c>
      <c r="K896" t="s">
        <v>40</v>
      </c>
    </row>
    <row r="897" spans="1:11" x14ac:dyDescent="0.2">
      <c r="A897" s="1">
        <v>45305</v>
      </c>
      <c r="B897" t="s">
        <v>24</v>
      </c>
      <c r="C897" t="s">
        <v>29</v>
      </c>
      <c r="D897" t="s">
        <v>12</v>
      </c>
      <c r="E897">
        <v>3803</v>
      </c>
      <c r="F897">
        <v>1.25</v>
      </c>
      <c r="G897">
        <v>1.05</v>
      </c>
      <c r="H897">
        <v>4753.75</v>
      </c>
      <c r="I897">
        <v>3993.15</v>
      </c>
      <c r="J897">
        <v>760.599999999999</v>
      </c>
      <c r="K897" t="s">
        <v>35</v>
      </c>
    </row>
    <row r="898" spans="1:11" x14ac:dyDescent="0.2">
      <c r="A898" s="1">
        <v>45478</v>
      </c>
      <c r="B898" t="s">
        <v>13</v>
      </c>
      <c r="C898" t="s">
        <v>29</v>
      </c>
      <c r="D898" t="s">
        <v>12</v>
      </c>
      <c r="E898">
        <v>3613</v>
      </c>
      <c r="F898">
        <v>1.25</v>
      </c>
      <c r="G898">
        <v>1.05</v>
      </c>
      <c r="H898">
        <v>4516.25</v>
      </c>
      <c r="I898">
        <v>3793.65</v>
      </c>
      <c r="J898">
        <v>722.599999999999</v>
      </c>
      <c r="K898" t="s">
        <v>41</v>
      </c>
    </row>
    <row r="899" spans="1:11" x14ac:dyDescent="0.2">
      <c r="A899" s="1">
        <v>45603</v>
      </c>
      <c r="B899" t="s">
        <v>24</v>
      </c>
      <c r="C899" t="s">
        <v>17</v>
      </c>
      <c r="D899" t="s">
        <v>12</v>
      </c>
      <c r="E899">
        <v>1382</v>
      </c>
      <c r="F899">
        <v>1.25</v>
      </c>
      <c r="G899">
        <v>1.05</v>
      </c>
      <c r="H899">
        <v>1727.5</v>
      </c>
      <c r="I899">
        <v>1451.1</v>
      </c>
      <c r="J899">
        <v>276.39999999999901</v>
      </c>
      <c r="K899" t="s">
        <v>45</v>
      </c>
    </row>
    <row r="900" spans="1:11" x14ac:dyDescent="0.2">
      <c r="A900" s="1">
        <v>45298</v>
      </c>
      <c r="B900" t="s">
        <v>32</v>
      </c>
      <c r="C900" t="s">
        <v>20</v>
      </c>
      <c r="D900" t="s">
        <v>18</v>
      </c>
      <c r="E900">
        <v>4734</v>
      </c>
      <c r="F900">
        <v>1.2</v>
      </c>
      <c r="G900">
        <v>1</v>
      </c>
      <c r="H900">
        <v>5680.8</v>
      </c>
      <c r="I900">
        <v>4734</v>
      </c>
      <c r="J900">
        <v>946.8</v>
      </c>
      <c r="K900" t="s">
        <v>35</v>
      </c>
    </row>
    <row r="901" spans="1:11" x14ac:dyDescent="0.2">
      <c r="A901" s="1">
        <v>45294</v>
      </c>
      <c r="B901" t="s">
        <v>15</v>
      </c>
      <c r="C901" t="s">
        <v>20</v>
      </c>
      <c r="D901" t="s">
        <v>14</v>
      </c>
      <c r="E901">
        <v>3162</v>
      </c>
      <c r="F901">
        <v>0.9</v>
      </c>
      <c r="G901">
        <v>0.7</v>
      </c>
      <c r="H901">
        <v>2845.8</v>
      </c>
      <c r="I901">
        <v>2213.3999999999901</v>
      </c>
      <c r="J901">
        <v>632.4</v>
      </c>
      <c r="K901" t="s">
        <v>35</v>
      </c>
    </row>
    <row r="902" spans="1:11" x14ac:dyDescent="0.2">
      <c r="A902" s="1">
        <v>45402</v>
      </c>
      <c r="B902" t="s">
        <v>15</v>
      </c>
      <c r="C902" t="s">
        <v>17</v>
      </c>
      <c r="D902" t="s">
        <v>12</v>
      </c>
      <c r="E902">
        <v>2004</v>
      </c>
      <c r="F902">
        <v>1.25</v>
      </c>
      <c r="G902">
        <v>1.05</v>
      </c>
      <c r="H902">
        <v>2505</v>
      </c>
      <c r="I902">
        <v>2104.1999999999998</v>
      </c>
      <c r="J902">
        <v>400.79999999999899</v>
      </c>
      <c r="K902" t="s">
        <v>38</v>
      </c>
    </row>
    <row r="903" spans="1:11" x14ac:dyDescent="0.2">
      <c r="A903" s="1">
        <v>45529</v>
      </c>
      <c r="B903" t="s">
        <v>30</v>
      </c>
      <c r="C903" t="s">
        <v>23</v>
      </c>
      <c r="D903" t="s">
        <v>18</v>
      </c>
      <c r="E903">
        <v>2963</v>
      </c>
      <c r="F903">
        <v>1.2</v>
      </c>
      <c r="G903">
        <v>1</v>
      </c>
      <c r="H903">
        <v>3555.6</v>
      </c>
      <c r="I903">
        <v>2963</v>
      </c>
      <c r="J903">
        <v>592.599999999999</v>
      </c>
      <c r="K903" t="s">
        <v>42</v>
      </c>
    </row>
    <row r="904" spans="1:11" x14ac:dyDescent="0.2">
      <c r="A904" s="1">
        <v>45654</v>
      </c>
      <c r="B904" t="s">
        <v>28</v>
      </c>
      <c r="C904" t="s">
        <v>17</v>
      </c>
      <c r="D904" t="s">
        <v>18</v>
      </c>
      <c r="E904">
        <v>3053</v>
      </c>
      <c r="F904">
        <v>1.2</v>
      </c>
      <c r="G904">
        <v>1</v>
      </c>
      <c r="H904">
        <v>3663.6</v>
      </c>
      <c r="I904">
        <v>3053</v>
      </c>
      <c r="J904">
        <v>610.599999999999</v>
      </c>
      <c r="K904" t="s">
        <v>46</v>
      </c>
    </row>
    <row r="905" spans="1:11" x14ac:dyDescent="0.2">
      <c r="A905" s="1">
        <v>45530</v>
      </c>
      <c r="B905" t="s">
        <v>24</v>
      </c>
      <c r="C905" t="s">
        <v>11</v>
      </c>
      <c r="D905" t="s">
        <v>18</v>
      </c>
      <c r="E905">
        <v>1232</v>
      </c>
      <c r="F905">
        <v>1.2</v>
      </c>
      <c r="G905">
        <v>1</v>
      </c>
      <c r="H905">
        <v>1478.3999999999901</v>
      </c>
      <c r="I905">
        <v>1232</v>
      </c>
      <c r="J905">
        <v>246.39999999999901</v>
      </c>
      <c r="K905" t="s">
        <v>42</v>
      </c>
    </row>
    <row r="906" spans="1:11" x14ac:dyDescent="0.2">
      <c r="A906" s="1">
        <v>45565</v>
      </c>
      <c r="B906" t="s">
        <v>15</v>
      </c>
      <c r="C906" t="s">
        <v>20</v>
      </c>
      <c r="D906" t="s">
        <v>12</v>
      </c>
      <c r="E906">
        <v>2248</v>
      </c>
      <c r="F906">
        <v>1.25</v>
      </c>
      <c r="G906">
        <v>1.05</v>
      </c>
      <c r="H906">
        <v>2810</v>
      </c>
      <c r="I906">
        <v>2360.4</v>
      </c>
      <c r="J906">
        <v>449.599999999999</v>
      </c>
      <c r="K906" t="s">
        <v>43</v>
      </c>
    </row>
    <row r="907" spans="1:11" x14ac:dyDescent="0.2">
      <c r="A907" s="1">
        <v>45585</v>
      </c>
      <c r="B907" t="s">
        <v>32</v>
      </c>
      <c r="C907" t="s">
        <v>29</v>
      </c>
      <c r="D907" t="s">
        <v>12</v>
      </c>
      <c r="E907">
        <v>4424</v>
      </c>
      <c r="F907">
        <v>1.25</v>
      </c>
      <c r="G907">
        <v>1.05</v>
      </c>
      <c r="H907">
        <v>5530</v>
      </c>
      <c r="I907">
        <v>4645.2</v>
      </c>
      <c r="J907">
        <v>884.8</v>
      </c>
      <c r="K907" t="s">
        <v>44</v>
      </c>
    </row>
    <row r="908" spans="1:11" x14ac:dyDescent="0.2">
      <c r="A908" s="1">
        <v>45518</v>
      </c>
      <c r="B908" t="s">
        <v>16</v>
      </c>
      <c r="C908" t="s">
        <v>11</v>
      </c>
      <c r="D908" t="s">
        <v>12</v>
      </c>
      <c r="E908">
        <v>923</v>
      </c>
      <c r="F908">
        <v>1.25</v>
      </c>
      <c r="G908">
        <v>1.05</v>
      </c>
      <c r="H908">
        <v>1153.75</v>
      </c>
      <c r="I908">
        <v>969.15</v>
      </c>
      <c r="J908">
        <v>184.599999999999</v>
      </c>
      <c r="K908" t="s">
        <v>42</v>
      </c>
    </row>
    <row r="909" spans="1:11" x14ac:dyDescent="0.2">
      <c r="A909" s="1">
        <v>45306</v>
      </c>
      <c r="B909" t="s">
        <v>21</v>
      </c>
      <c r="C909" t="s">
        <v>20</v>
      </c>
      <c r="D909" t="s">
        <v>18</v>
      </c>
      <c r="E909">
        <v>3978</v>
      </c>
      <c r="F909">
        <v>1.2</v>
      </c>
      <c r="G909">
        <v>1</v>
      </c>
      <c r="H909">
        <v>4773.5999999999904</v>
      </c>
      <c r="I909">
        <v>3978</v>
      </c>
      <c r="J909">
        <v>795.599999999999</v>
      </c>
      <c r="K909" t="s">
        <v>35</v>
      </c>
    </row>
    <row r="910" spans="1:11" x14ac:dyDescent="0.2">
      <c r="A910" s="1">
        <v>45483</v>
      </c>
      <c r="B910" t="s">
        <v>31</v>
      </c>
      <c r="C910" t="s">
        <v>17</v>
      </c>
      <c r="D910" t="s">
        <v>18</v>
      </c>
      <c r="E910">
        <v>2091</v>
      </c>
      <c r="F910">
        <v>1.2</v>
      </c>
      <c r="G910">
        <v>1</v>
      </c>
      <c r="H910">
        <v>2509.1999999999998</v>
      </c>
      <c r="I910">
        <v>2091</v>
      </c>
      <c r="J910">
        <v>418.19999999999902</v>
      </c>
      <c r="K910" t="s">
        <v>41</v>
      </c>
    </row>
    <row r="911" spans="1:11" x14ac:dyDescent="0.2">
      <c r="A911" s="1">
        <v>45410</v>
      </c>
      <c r="B911" t="s">
        <v>21</v>
      </c>
      <c r="C911" t="s">
        <v>11</v>
      </c>
      <c r="D911" t="s">
        <v>12</v>
      </c>
      <c r="E911">
        <v>4985</v>
      </c>
      <c r="F911">
        <v>1.25</v>
      </c>
      <c r="G911">
        <v>1.05</v>
      </c>
      <c r="H911">
        <v>6231.25</v>
      </c>
      <c r="I911">
        <v>5234.25</v>
      </c>
      <c r="J911">
        <v>997</v>
      </c>
      <c r="K911" t="s">
        <v>38</v>
      </c>
    </row>
    <row r="912" spans="1:11" x14ac:dyDescent="0.2">
      <c r="A912" s="1">
        <v>45319</v>
      </c>
      <c r="B912" t="s">
        <v>25</v>
      </c>
      <c r="C912" t="s">
        <v>20</v>
      </c>
      <c r="D912" t="s">
        <v>12</v>
      </c>
      <c r="E912">
        <v>4937</v>
      </c>
      <c r="F912">
        <v>1.25</v>
      </c>
      <c r="G912">
        <v>1.05</v>
      </c>
      <c r="H912">
        <v>6171.25</v>
      </c>
      <c r="I912">
        <v>5183.8500000000004</v>
      </c>
      <c r="J912">
        <v>987.39999999999895</v>
      </c>
      <c r="K912" t="s">
        <v>35</v>
      </c>
    </row>
    <row r="913" spans="1:11" x14ac:dyDescent="0.2">
      <c r="A913" s="1">
        <v>45493</v>
      </c>
      <c r="B913" t="s">
        <v>10</v>
      </c>
      <c r="C913" t="s">
        <v>23</v>
      </c>
      <c r="D913" t="s">
        <v>14</v>
      </c>
      <c r="E913">
        <v>5541</v>
      </c>
      <c r="F913">
        <v>0.9</v>
      </c>
      <c r="G913">
        <v>0.7</v>
      </c>
      <c r="H913">
        <v>4986.8999999999996</v>
      </c>
      <c r="I913">
        <v>3878.7</v>
      </c>
      <c r="J913">
        <v>1108.2</v>
      </c>
      <c r="K913" t="s">
        <v>41</v>
      </c>
    </row>
    <row r="914" spans="1:11" x14ac:dyDescent="0.2">
      <c r="A914" s="1">
        <v>45330</v>
      </c>
      <c r="B914" t="s">
        <v>24</v>
      </c>
      <c r="C914" t="s">
        <v>23</v>
      </c>
      <c r="D914" t="s">
        <v>18</v>
      </c>
      <c r="E914">
        <v>5209</v>
      </c>
      <c r="F914">
        <v>1.2</v>
      </c>
      <c r="G914">
        <v>1</v>
      </c>
      <c r="H914">
        <v>6250.8</v>
      </c>
      <c r="I914">
        <v>5209</v>
      </c>
      <c r="J914">
        <v>1041.8</v>
      </c>
      <c r="K914" t="s">
        <v>36</v>
      </c>
    </row>
    <row r="915" spans="1:11" x14ac:dyDescent="0.2">
      <c r="A915" s="1">
        <v>45564</v>
      </c>
      <c r="B915" t="s">
        <v>30</v>
      </c>
      <c r="C915" t="s">
        <v>29</v>
      </c>
      <c r="D915" t="s">
        <v>14</v>
      </c>
      <c r="E915">
        <v>992</v>
      </c>
      <c r="F915">
        <v>0.9</v>
      </c>
      <c r="G915">
        <v>0.7</v>
      </c>
      <c r="H915">
        <v>892.8</v>
      </c>
      <c r="I915">
        <v>694.4</v>
      </c>
      <c r="J915">
        <v>198.4</v>
      </c>
      <c r="K915" t="s">
        <v>43</v>
      </c>
    </row>
    <row r="916" spans="1:11" x14ac:dyDescent="0.2">
      <c r="A916" s="1">
        <v>45522</v>
      </c>
      <c r="B916" t="s">
        <v>25</v>
      </c>
      <c r="C916" t="s">
        <v>20</v>
      </c>
      <c r="D916" t="s">
        <v>18</v>
      </c>
      <c r="E916">
        <v>691</v>
      </c>
      <c r="F916">
        <v>1.2</v>
      </c>
      <c r="G916">
        <v>1</v>
      </c>
      <c r="H916">
        <v>829.19999999999902</v>
      </c>
      <c r="I916">
        <v>691</v>
      </c>
      <c r="J916">
        <v>138.19999999999899</v>
      </c>
      <c r="K916" t="s">
        <v>42</v>
      </c>
    </row>
    <row r="917" spans="1:11" x14ac:dyDescent="0.2">
      <c r="A917" s="1">
        <v>45377</v>
      </c>
      <c r="B917" t="s">
        <v>15</v>
      </c>
      <c r="C917" t="s">
        <v>23</v>
      </c>
      <c r="D917" t="s">
        <v>12</v>
      </c>
      <c r="E917">
        <v>998</v>
      </c>
      <c r="F917">
        <v>1.25</v>
      </c>
      <c r="G917">
        <v>1.05</v>
      </c>
      <c r="H917">
        <v>1247.5</v>
      </c>
      <c r="I917">
        <v>1047.9000000000001</v>
      </c>
      <c r="J917">
        <v>199.599999999999</v>
      </c>
      <c r="K917" t="s">
        <v>37</v>
      </c>
    </row>
    <row r="918" spans="1:11" x14ac:dyDescent="0.2">
      <c r="A918" s="1">
        <v>45417</v>
      </c>
      <c r="B918" t="s">
        <v>19</v>
      </c>
      <c r="C918" t="s">
        <v>17</v>
      </c>
      <c r="D918" t="s">
        <v>18</v>
      </c>
      <c r="E918">
        <v>5417</v>
      </c>
      <c r="F918">
        <v>1.2</v>
      </c>
      <c r="G918">
        <v>1</v>
      </c>
      <c r="H918">
        <v>6500.4</v>
      </c>
      <c r="I918">
        <v>5417</v>
      </c>
      <c r="J918">
        <v>1083.3999999999901</v>
      </c>
      <c r="K918" t="s">
        <v>39</v>
      </c>
    </row>
    <row r="919" spans="1:11" x14ac:dyDescent="0.2">
      <c r="A919" s="1">
        <v>45591</v>
      </c>
      <c r="B919" t="s">
        <v>22</v>
      </c>
      <c r="C919" t="s">
        <v>20</v>
      </c>
      <c r="D919" t="s">
        <v>18</v>
      </c>
      <c r="E919">
        <v>1756</v>
      </c>
      <c r="F919">
        <v>1.2</v>
      </c>
      <c r="G919">
        <v>1</v>
      </c>
      <c r="H919">
        <v>2107.1999999999998</v>
      </c>
      <c r="I919">
        <v>1756</v>
      </c>
      <c r="J919">
        <v>351.19999999999902</v>
      </c>
      <c r="K919" t="s">
        <v>44</v>
      </c>
    </row>
    <row r="920" spans="1:11" x14ac:dyDescent="0.2">
      <c r="A920" s="1">
        <v>45316</v>
      </c>
      <c r="B920" t="s">
        <v>19</v>
      </c>
      <c r="C920" t="s">
        <v>17</v>
      </c>
      <c r="D920" t="s">
        <v>12</v>
      </c>
      <c r="E920">
        <v>2468</v>
      </c>
      <c r="F920">
        <v>1.25</v>
      </c>
      <c r="G920">
        <v>1.05</v>
      </c>
      <c r="H920">
        <v>3085</v>
      </c>
      <c r="I920">
        <v>2591.4</v>
      </c>
      <c r="J920">
        <v>493.599999999999</v>
      </c>
      <c r="K920" t="s">
        <v>35</v>
      </c>
    </row>
    <row r="921" spans="1:11" x14ac:dyDescent="0.2">
      <c r="A921" s="1">
        <v>45436</v>
      </c>
      <c r="B921" t="s">
        <v>32</v>
      </c>
      <c r="C921" t="s">
        <v>17</v>
      </c>
      <c r="D921" t="s">
        <v>18</v>
      </c>
      <c r="E921">
        <v>4822</v>
      </c>
      <c r="F921">
        <v>1.2</v>
      </c>
      <c r="G921">
        <v>1</v>
      </c>
      <c r="H921">
        <v>5786.4</v>
      </c>
      <c r="I921">
        <v>4822</v>
      </c>
      <c r="J921">
        <v>964.39999999999895</v>
      </c>
      <c r="K921" t="s">
        <v>39</v>
      </c>
    </row>
    <row r="922" spans="1:11" x14ac:dyDescent="0.2">
      <c r="A922" s="1">
        <v>45304</v>
      </c>
      <c r="B922" t="s">
        <v>28</v>
      </c>
      <c r="C922" t="s">
        <v>23</v>
      </c>
      <c r="D922" t="s">
        <v>18</v>
      </c>
      <c r="E922">
        <v>5990</v>
      </c>
      <c r="F922">
        <v>1.2</v>
      </c>
      <c r="G922">
        <v>1</v>
      </c>
      <c r="H922">
        <v>7188</v>
      </c>
      <c r="I922">
        <v>5990</v>
      </c>
      <c r="J922">
        <v>1198</v>
      </c>
      <c r="K922" t="s">
        <v>35</v>
      </c>
    </row>
    <row r="923" spans="1:11" x14ac:dyDescent="0.2">
      <c r="A923" s="1">
        <v>45503</v>
      </c>
      <c r="B923" t="s">
        <v>26</v>
      </c>
      <c r="C923" t="s">
        <v>20</v>
      </c>
      <c r="D923" t="s">
        <v>12</v>
      </c>
      <c r="E923">
        <v>2686</v>
      </c>
      <c r="F923">
        <v>1.25</v>
      </c>
      <c r="G923">
        <v>1.05</v>
      </c>
      <c r="H923">
        <v>3357.5</v>
      </c>
      <c r="I923">
        <v>2820.3</v>
      </c>
      <c r="J923">
        <v>537.19999999999902</v>
      </c>
      <c r="K923" t="s">
        <v>41</v>
      </c>
    </row>
    <row r="924" spans="1:11" x14ac:dyDescent="0.2">
      <c r="A924" s="1">
        <v>45316</v>
      </c>
      <c r="B924" t="s">
        <v>31</v>
      </c>
      <c r="C924" t="s">
        <v>11</v>
      </c>
      <c r="D924" t="s">
        <v>18</v>
      </c>
      <c r="E924">
        <v>1316</v>
      </c>
      <c r="F924">
        <v>1.2</v>
      </c>
      <c r="G924">
        <v>1</v>
      </c>
      <c r="H924">
        <v>1579.2</v>
      </c>
      <c r="I924">
        <v>1316</v>
      </c>
      <c r="J924">
        <v>263.2</v>
      </c>
      <c r="K924" t="s">
        <v>35</v>
      </c>
    </row>
    <row r="925" spans="1:11" x14ac:dyDescent="0.2">
      <c r="A925" s="1">
        <v>45359</v>
      </c>
      <c r="B925" t="s">
        <v>24</v>
      </c>
      <c r="C925" t="s">
        <v>23</v>
      </c>
      <c r="D925" t="s">
        <v>18</v>
      </c>
      <c r="E925">
        <v>3720</v>
      </c>
      <c r="F925">
        <v>1.2</v>
      </c>
      <c r="G925">
        <v>1</v>
      </c>
      <c r="H925">
        <v>4464</v>
      </c>
      <c r="I925">
        <v>3720</v>
      </c>
      <c r="J925">
        <v>744</v>
      </c>
      <c r="K925" t="s">
        <v>37</v>
      </c>
    </row>
    <row r="926" spans="1:11" x14ac:dyDescent="0.2">
      <c r="A926" s="1">
        <v>45358</v>
      </c>
      <c r="B926" t="s">
        <v>10</v>
      </c>
      <c r="C926" t="s">
        <v>23</v>
      </c>
      <c r="D926" t="s">
        <v>14</v>
      </c>
      <c r="E926">
        <v>1973</v>
      </c>
      <c r="F926">
        <v>0.9</v>
      </c>
      <c r="G926">
        <v>0.7</v>
      </c>
      <c r="H926">
        <v>1775.7</v>
      </c>
      <c r="I926">
        <v>1381.1</v>
      </c>
      <c r="J926">
        <v>394.6</v>
      </c>
      <c r="K926" t="s">
        <v>37</v>
      </c>
    </row>
    <row r="927" spans="1:11" x14ac:dyDescent="0.2">
      <c r="A927" s="1">
        <v>45524</v>
      </c>
      <c r="B927" t="s">
        <v>30</v>
      </c>
      <c r="C927" t="s">
        <v>20</v>
      </c>
      <c r="D927" t="s">
        <v>12</v>
      </c>
      <c r="E927">
        <v>1586</v>
      </c>
      <c r="F927">
        <v>1.25</v>
      </c>
      <c r="G927">
        <v>1.05</v>
      </c>
      <c r="H927">
        <v>1982.5</v>
      </c>
      <c r="I927">
        <v>1665.3</v>
      </c>
      <c r="J927">
        <v>317.19999999999902</v>
      </c>
      <c r="K927" t="s">
        <v>42</v>
      </c>
    </row>
    <row r="928" spans="1:11" x14ac:dyDescent="0.2">
      <c r="A928" s="1">
        <v>45400</v>
      </c>
      <c r="B928" t="s">
        <v>30</v>
      </c>
      <c r="C928" t="s">
        <v>20</v>
      </c>
      <c r="D928" t="s">
        <v>12</v>
      </c>
      <c r="E928">
        <v>4699</v>
      </c>
      <c r="F928">
        <v>1.25</v>
      </c>
      <c r="G928">
        <v>1.05</v>
      </c>
      <c r="H928">
        <v>5873.75</v>
      </c>
      <c r="I928">
        <v>4933.95</v>
      </c>
      <c r="J928">
        <v>939.8</v>
      </c>
      <c r="K928" t="s">
        <v>38</v>
      </c>
    </row>
    <row r="929" spans="1:11" x14ac:dyDescent="0.2">
      <c r="A929" s="1">
        <v>45437</v>
      </c>
      <c r="B929" t="s">
        <v>10</v>
      </c>
      <c r="C929" t="s">
        <v>17</v>
      </c>
      <c r="D929" t="s">
        <v>18</v>
      </c>
      <c r="E929">
        <v>2374</v>
      </c>
      <c r="F929">
        <v>1.2</v>
      </c>
      <c r="G929">
        <v>1</v>
      </c>
      <c r="H929">
        <v>2848.7999999999902</v>
      </c>
      <c r="I929">
        <v>2374</v>
      </c>
      <c r="J929">
        <v>474.79999999999899</v>
      </c>
      <c r="K929" t="s">
        <v>39</v>
      </c>
    </row>
    <row r="930" spans="1:11" x14ac:dyDescent="0.2">
      <c r="A930" s="1">
        <v>45402</v>
      </c>
      <c r="B930" t="s">
        <v>32</v>
      </c>
      <c r="C930" t="s">
        <v>20</v>
      </c>
      <c r="D930" t="s">
        <v>12</v>
      </c>
      <c r="E930">
        <v>1370</v>
      </c>
      <c r="F930">
        <v>1.25</v>
      </c>
      <c r="G930">
        <v>1.05</v>
      </c>
      <c r="H930">
        <v>1712.5</v>
      </c>
      <c r="I930">
        <v>1438.5</v>
      </c>
      <c r="J930">
        <v>274</v>
      </c>
      <c r="K930" t="s">
        <v>38</v>
      </c>
    </row>
    <row r="931" spans="1:11" x14ac:dyDescent="0.2">
      <c r="A931" s="1">
        <v>45519</v>
      </c>
      <c r="B931" t="s">
        <v>27</v>
      </c>
      <c r="C931" t="s">
        <v>17</v>
      </c>
      <c r="D931" t="s">
        <v>18</v>
      </c>
      <c r="E931">
        <v>5263</v>
      </c>
      <c r="F931">
        <v>1.2</v>
      </c>
      <c r="G931">
        <v>1</v>
      </c>
      <c r="H931">
        <v>6315.5999999999904</v>
      </c>
      <c r="I931">
        <v>5263</v>
      </c>
      <c r="J931">
        <v>1052.5999999999899</v>
      </c>
      <c r="K931" t="s">
        <v>42</v>
      </c>
    </row>
    <row r="932" spans="1:11" x14ac:dyDescent="0.2">
      <c r="A932" s="1">
        <v>45402</v>
      </c>
      <c r="B932" t="s">
        <v>15</v>
      </c>
      <c r="C932" t="s">
        <v>23</v>
      </c>
      <c r="D932" t="s">
        <v>18</v>
      </c>
      <c r="E932">
        <v>2542</v>
      </c>
      <c r="F932">
        <v>1.2</v>
      </c>
      <c r="G932">
        <v>1</v>
      </c>
      <c r="H932">
        <v>3050.4</v>
      </c>
      <c r="I932">
        <v>2542</v>
      </c>
      <c r="J932">
        <v>508.4</v>
      </c>
      <c r="K932" t="s">
        <v>38</v>
      </c>
    </row>
    <row r="933" spans="1:11" x14ac:dyDescent="0.2">
      <c r="A933" s="1">
        <v>45325</v>
      </c>
      <c r="B933" t="s">
        <v>22</v>
      </c>
      <c r="C933" t="s">
        <v>29</v>
      </c>
      <c r="D933" t="s">
        <v>12</v>
      </c>
      <c r="E933">
        <v>772</v>
      </c>
      <c r="F933">
        <v>1.25</v>
      </c>
      <c r="G933">
        <v>1.05</v>
      </c>
      <c r="H933">
        <v>965</v>
      </c>
      <c r="I933">
        <v>810.6</v>
      </c>
      <c r="J933">
        <v>154.39999999999901</v>
      </c>
      <c r="K933" t="s">
        <v>36</v>
      </c>
    </row>
    <row r="934" spans="1:11" x14ac:dyDescent="0.2">
      <c r="A934" s="1">
        <v>45402</v>
      </c>
      <c r="B934" t="s">
        <v>13</v>
      </c>
      <c r="C934" t="s">
        <v>11</v>
      </c>
      <c r="D934" t="s">
        <v>18</v>
      </c>
      <c r="E934">
        <v>1529</v>
      </c>
      <c r="F934">
        <v>1.2</v>
      </c>
      <c r="G934">
        <v>1</v>
      </c>
      <c r="H934">
        <v>1834.8</v>
      </c>
      <c r="I934">
        <v>1529</v>
      </c>
      <c r="J934">
        <v>305.79999999999899</v>
      </c>
      <c r="K934" t="s">
        <v>38</v>
      </c>
    </row>
    <row r="935" spans="1:11" x14ac:dyDescent="0.2">
      <c r="A935" s="1">
        <v>45555</v>
      </c>
      <c r="B935" t="s">
        <v>13</v>
      </c>
      <c r="C935" t="s">
        <v>23</v>
      </c>
      <c r="D935" t="s">
        <v>18</v>
      </c>
      <c r="E935">
        <v>3718</v>
      </c>
      <c r="F935">
        <v>1.2</v>
      </c>
      <c r="G935">
        <v>1</v>
      </c>
      <c r="H935">
        <v>4461.5999999999904</v>
      </c>
      <c r="I935">
        <v>3718</v>
      </c>
      <c r="J935">
        <v>743.599999999999</v>
      </c>
      <c r="K935" t="s">
        <v>43</v>
      </c>
    </row>
    <row r="936" spans="1:11" x14ac:dyDescent="0.2">
      <c r="A936" s="1">
        <v>45527</v>
      </c>
      <c r="B936" t="s">
        <v>13</v>
      </c>
      <c r="C936" t="s">
        <v>20</v>
      </c>
      <c r="D936" t="s">
        <v>12</v>
      </c>
      <c r="E936">
        <v>4569</v>
      </c>
      <c r="F936">
        <v>1.25</v>
      </c>
      <c r="G936">
        <v>1.05</v>
      </c>
      <c r="H936">
        <v>5711.25</v>
      </c>
      <c r="I936">
        <v>4797.45</v>
      </c>
      <c r="J936">
        <v>913.8</v>
      </c>
      <c r="K936" t="s">
        <v>42</v>
      </c>
    </row>
    <row r="937" spans="1:11" x14ac:dyDescent="0.2">
      <c r="A937" s="1">
        <v>45374</v>
      </c>
      <c r="B937" t="s">
        <v>24</v>
      </c>
      <c r="C937" t="s">
        <v>11</v>
      </c>
      <c r="D937" t="s">
        <v>14</v>
      </c>
      <c r="E937">
        <v>1551</v>
      </c>
      <c r="F937">
        <v>0.9</v>
      </c>
      <c r="G937">
        <v>0.7</v>
      </c>
      <c r="H937">
        <v>1395.9</v>
      </c>
      <c r="I937">
        <v>1085.69999999999</v>
      </c>
      <c r="J937">
        <v>310.2</v>
      </c>
      <c r="K937" t="s">
        <v>37</v>
      </c>
    </row>
    <row r="938" spans="1:11" x14ac:dyDescent="0.2">
      <c r="A938" s="1">
        <v>45333</v>
      </c>
      <c r="B938" t="s">
        <v>13</v>
      </c>
      <c r="C938" t="s">
        <v>29</v>
      </c>
      <c r="D938" t="s">
        <v>18</v>
      </c>
      <c r="E938">
        <v>4533</v>
      </c>
      <c r="F938">
        <v>1.2</v>
      </c>
      <c r="G938">
        <v>1</v>
      </c>
      <c r="H938">
        <v>5439.5999999999904</v>
      </c>
      <c r="I938">
        <v>4533</v>
      </c>
      <c r="J938">
        <v>906.599999999999</v>
      </c>
      <c r="K938" t="s">
        <v>36</v>
      </c>
    </row>
    <row r="939" spans="1:11" x14ac:dyDescent="0.2">
      <c r="A939" s="1">
        <v>45392</v>
      </c>
      <c r="B939" t="s">
        <v>16</v>
      </c>
      <c r="C939" t="s">
        <v>29</v>
      </c>
      <c r="D939" t="s">
        <v>18</v>
      </c>
      <c r="E939">
        <v>2073</v>
      </c>
      <c r="F939">
        <v>1.2</v>
      </c>
      <c r="G939">
        <v>1</v>
      </c>
      <c r="H939">
        <v>2487.6</v>
      </c>
      <c r="I939">
        <v>2073</v>
      </c>
      <c r="J939">
        <v>414.599999999999</v>
      </c>
      <c r="K939" t="s">
        <v>38</v>
      </c>
    </row>
    <row r="940" spans="1:11" x14ac:dyDescent="0.2">
      <c r="A940" s="1">
        <v>45297</v>
      </c>
      <c r="B940" t="s">
        <v>21</v>
      </c>
      <c r="C940" t="s">
        <v>17</v>
      </c>
      <c r="D940" t="s">
        <v>18</v>
      </c>
      <c r="E940">
        <v>3690</v>
      </c>
      <c r="F940">
        <v>1.2</v>
      </c>
      <c r="G940">
        <v>1</v>
      </c>
      <c r="H940">
        <v>4428</v>
      </c>
      <c r="I940">
        <v>3690</v>
      </c>
      <c r="J940">
        <v>738</v>
      </c>
      <c r="K940" t="s">
        <v>35</v>
      </c>
    </row>
    <row r="941" spans="1:11" x14ac:dyDescent="0.2">
      <c r="A941" s="1">
        <v>45471</v>
      </c>
      <c r="B941" t="s">
        <v>30</v>
      </c>
      <c r="C941" t="s">
        <v>11</v>
      </c>
      <c r="D941" t="s">
        <v>12</v>
      </c>
      <c r="E941">
        <v>4888</v>
      </c>
      <c r="F941">
        <v>1.25</v>
      </c>
      <c r="G941">
        <v>1.05</v>
      </c>
      <c r="H941">
        <v>6110</v>
      </c>
      <c r="I941">
        <v>5132.3999999999996</v>
      </c>
      <c r="J941">
        <v>977.599999999999</v>
      </c>
      <c r="K941" t="s">
        <v>40</v>
      </c>
    </row>
    <row r="942" spans="1:11" x14ac:dyDescent="0.2">
      <c r="A942" s="1">
        <v>45573</v>
      </c>
      <c r="B942" t="s">
        <v>22</v>
      </c>
      <c r="C942" t="s">
        <v>17</v>
      </c>
      <c r="D942" t="s">
        <v>14</v>
      </c>
      <c r="E942">
        <v>4297</v>
      </c>
      <c r="F942">
        <v>0.9</v>
      </c>
      <c r="G942">
        <v>0.7</v>
      </c>
      <c r="H942">
        <v>3867.3</v>
      </c>
      <c r="I942">
        <v>3007.8999999999901</v>
      </c>
      <c r="J942">
        <v>859.4</v>
      </c>
      <c r="K942" t="s">
        <v>44</v>
      </c>
    </row>
    <row r="943" spans="1:11" x14ac:dyDescent="0.2">
      <c r="A943" s="1">
        <v>45611</v>
      </c>
      <c r="B943" t="s">
        <v>21</v>
      </c>
      <c r="C943" t="s">
        <v>23</v>
      </c>
      <c r="D943" t="s">
        <v>18</v>
      </c>
      <c r="E943">
        <v>3789</v>
      </c>
      <c r="F943">
        <v>1.2</v>
      </c>
      <c r="G943">
        <v>1</v>
      </c>
      <c r="H943">
        <v>4546.8</v>
      </c>
      <c r="I943">
        <v>3789</v>
      </c>
      <c r="J943">
        <v>757.8</v>
      </c>
      <c r="K943" t="s">
        <v>45</v>
      </c>
    </row>
    <row r="944" spans="1:11" x14ac:dyDescent="0.2">
      <c r="A944" s="1">
        <v>45517</v>
      </c>
      <c r="B944" t="s">
        <v>26</v>
      </c>
      <c r="C944" t="s">
        <v>11</v>
      </c>
      <c r="D944" t="s">
        <v>18</v>
      </c>
      <c r="E944">
        <v>4247</v>
      </c>
      <c r="F944">
        <v>1.2</v>
      </c>
      <c r="G944">
        <v>1</v>
      </c>
      <c r="H944">
        <v>5096.3999999999996</v>
      </c>
      <c r="I944">
        <v>4247</v>
      </c>
      <c r="J944">
        <v>849.39999999999895</v>
      </c>
      <c r="K944" t="s">
        <v>42</v>
      </c>
    </row>
    <row r="945" spans="1:11" x14ac:dyDescent="0.2">
      <c r="A945" s="1">
        <v>45606</v>
      </c>
      <c r="B945" t="s">
        <v>22</v>
      </c>
      <c r="C945" t="s">
        <v>23</v>
      </c>
      <c r="D945" t="s">
        <v>14</v>
      </c>
      <c r="E945">
        <v>2605</v>
      </c>
      <c r="F945">
        <v>0.9</v>
      </c>
      <c r="G945">
        <v>0.7</v>
      </c>
      <c r="H945">
        <v>2344.5</v>
      </c>
      <c r="I945">
        <v>1823.49999999999</v>
      </c>
      <c r="J945">
        <v>521</v>
      </c>
      <c r="K945" t="s">
        <v>45</v>
      </c>
    </row>
    <row r="946" spans="1:11" x14ac:dyDescent="0.2">
      <c r="A946" s="1">
        <v>45656</v>
      </c>
      <c r="B946" t="s">
        <v>21</v>
      </c>
      <c r="C946" t="s">
        <v>17</v>
      </c>
      <c r="D946" t="s">
        <v>12</v>
      </c>
      <c r="E946">
        <v>5888</v>
      </c>
      <c r="F946">
        <v>1.25</v>
      </c>
      <c r="G946">
        <v>1.05</v>
      </c>
      <c r="H946">
        <v>7360</v>
      </c>
      <c r="I946">
        <v>6182.4</v>
      </c>
      <c r="J946">
        <v>1177.5999999999899</v>
      </c>
      <c r="K946" t="s">
        <v>46</v>
      </c>
    </row>
    <row r="947" spans="1:11" x14ac:dyDescent="0.2">
      <c r="A947" s="1">
        <v>45520</v>
      </c>
      <c r="B947" t="s">
        <v>22</v>
      </c>
      <c r="C947" t="s">
        <v>11</v>
      </c>
      <c r="D947" t="s">
        <v>18</v>
      </c>
      <c r="E947">
        <v>807</v>
      </c>
      <c r="F947">
        <v>1.2</v>
      </c>
      <c r="G947">
        <v>1</v>
      </c>
      <c r="H947">
        <v>968.4</v>
      </c>
      <c r="I947">
        <v>807</v>
      </c>
      <c r="J947">
        <v>161.39999999999901</v>
      </c>
      <c r="K947" t="s">
        <v>42</v>
      </c>
    </row>
    <row r="948" spans="1:11" x14ac:dyDescent="0.2">
      <c r="A948" s="1">
        <v>45580</v>
      </c>
      <c r="B948" t="s">
        <v>26</v>
      </c>
      <c r="C948" t="s">
        <v>17</v>
      </c>
      <c r="D948" t="s">
        <v>12</v>
      </c>
      <c r="E948">
        <v>3859</v>
      </c>
      <c r="F948">
        <v>1.25</v>
      </c>
      <c r="G948">
        <v>1.05</v>
      </c>
      <c r="H948">
        <v>4823.75</v>
      </c>
      <c r="I948">
        <v>4051.95</v>
      </c>
      <c r="J948">
        <v>771.79999999999905</v>
      </c>
      <c r="K948" t="s">
        <v>44</v>
      </c>
    </row>
    <row r="949" spans="1:11" x14ac:dyDescent="0.2">
      <c r="A949" s="1">
        <v>45441</v>
      </c>
      <c r="B949" t="s">
        <v>25</v>
      </c>
      <c r="C949" t="s">
        <v>11</v>
      </c>
      <c r="D949" t="s">
        <v>12</v>
      </c>
      <c r="E949">
        <v>5572</v>
      </c>
      <c r="F949">
        <v>1.25</v>
      </c>
      <c r="G949">
        <v>1.05</v>
      </c>
      <c r="H949">
        <v>6965</v>
      </c>
      <c r="I949">
        <v>5850.6</v>
      </c>
      <c r="J949">
        <v>1114.3999999999901</v>
      </c>
      <c r="K949" t="s">
        <v>39</v>
      </c>
    </row>
    <row r="950" spans="1:11" x14ac:dyDescent="0.2">
      <c r="A950" s="1">
        <v>45568</v>
      </c>
      <c r="B950" t="s">
        <v>16</v>
      </c>
      <c r="C950" t="s">
        <v>17</v>
      </c>
      <c r="D950" t="s">
        <v>12</v>
      </c>
      <c r="E950">
        <v>3676</v>
      </c>
      <c r="F950">
        <v>1.25</v>
      </c>
      <c r="G950">
        <v>1.05</v>
      </c>
      <c r="H950">
        <v>4595</v>
      </c>
      <c r="I950">
        <v>3859.8</v>
      </c>
      <c r="J950">
        <v>735.19999999999902</v>
      </c>
      <c r="K950" t="s">
        <v>44</v>
      </c>
    </row>
    <row r="951" spans="1:11" x14ac:dyDescent="0.2">
      <c r="A951" s="1">
        <v>45489</v>
      </c>
      <c r="B951" t="s">
        <v>24</v>
      </c>
      <c r="C951" t="s">
        <v>29</v>
      </c>
      <c r="D951" t="s">
        <v>14</v>
      </c>
      <c r="E951">
        <v>1751</v>
      </c>
      <c r="F951">
        <v>0.9</v>
      </c>
      <c r="G951">
        <v>0.7</v>
      </c>
      <c r="H951">
        <v>1575.9</v>
      </c>
      <c r="I951">
        <v>1225.69999999999</v>
      </c>
      <c r="J951">
        <v>350.2</v>
      </c>
      <c r="K951" t="s">
        <v>41</v>
      </c>
    </row>
    <row r="952" spans="1:11" x14ac:dyDescent="0.2">
      <c r="A952" s="1">
        <v>45361</v>
      </c>
      <c r="B952" t="s">
        <v>24</v>
      </c>
      <c r="C952" t="s">
        <v>17</v>
      </c>
      <c r="D952" t="s">
        <v>14</v>
      </c>
      <c r="E952">
        <v>5866</v>
      </c>
      <c r="F952">
        <v>0.9</v>
      </c>
      <c r="G952">
        <v>0.7</v>
      </c>
      <c r="H952">
        <v>5279.4</v>
      </c>
      <c r="I952">
        <v>4106.2</v>
      </c>
      <c r="J952">
        <v>1173.2</v>
      </c>
      <c r="K952" t="s">
        <v>37</v>
      </c>
    </row>
    <row r="953" spans="1:11" x14ac:dyDescent="0.2">
      <c r="A953" s="1">
        <v>45403</v>
      </c>
      <c r="B953" t="s">
        <v>32</v>
      </c>
      <c r="C953" t="s">
        <v>29</v>
      </c>
      <c r="D953" t="s">
        <v>18</v>
      </c>
      <c r="E953">
        <v>3247</v>
      </c>
      <c r="F953">
        <v>1.2</v>
      </c>
      <c r="G953">
        <v>1</v>
      </c>
      <c r="H953">
        <v>3896.3999999999901</v>
      </c>
      <c r="I953">
        <v>3247</v>
      </c>
      <c r="J953">
        <v>649.39999999999895</v>
      </c>
      <c r="K953" t="s">
        <v>38</v>
      </c>
    </row>
    <row r="954" spans="1:11" x14ac:dyDescent="0.2">
      <c r="A954" s="1">
        <v>45295</v>
      </c>
      <c r="B954" t="s">
        <v>10</v>
      </c>
      <c r="C954" t="s">
        <v>17</v>
      </c>
      <c r="D954" t="s">
        <v>18</v>
      </c>
      <c r="E954">
        <v>2017</v>
      </c>
      <c r="F954">
        <v>1.2</v>
      </c>
      <c r="G954">
        <v>1</v>
      </c>
      <c r="H954">
        <v>2420.4</v>
      </c>
      <c r="I954">
        <v>2017</v>
      </c>
      <c r="J954">
        <v>403.4</v>
      </c>
      <c r="K954" t="s">
        <v>35</v>
      </c>
    </row>
    <row r="955" spans="1:11" x14ac:dyDescent="0.2">
      <c r="A955" s="1">
        <v>45641</v>
      </c>
      <c r="B955" t="s">
        <v>15</v>
      </c>
      <c r="C955" t="s">
        <v>11</v>
      </c>
      <c r="D955" t="s">
        <v>18</v>
      </c>
      <c r="E955">
        <v>5805</v>
      </c>
      <c r="F955">
        <v>1.2</v>
      </c>
      <c r="G955">
        <v>1</v>
      </c>
      <c r="H955">
        <v>6966</v>
      </c>
      <c r="I955">
        <v>5805</v>
      </c>
      <c r="J955">
        <v>1161</v>
      </c>
      <c r="K955" t="s">
        <v>46</v>
      </c>
    </row>
    <row r="956" spans="1:11" x14ac:dyDescent="0.2">
      <c r="A956" s="1">
        <v>45622</v>
      </c>
      <c r="B956" t="s">
        <v>30</v>
      </c>
      <c r="C956" t="s">
        <v>11</v>
      </c>
      <c r="D956" t="s">
        <v>14</v>
      </c>
      <c r="E956">
        <v>1878</v>
      </c>
      <c r="F956">
        <v>0.9</v>
      </c>
      <c r="G956">
        <v>0.7</v>
      </c>
      <c r="H956">
        <v>1690.2</v>
      </c>
      <c r="I956">
        <v>1314.6</v>
      </c>
      <c r="J956">
        <v>375.6</v>
      </c>
      <c r="K956" t="s">
        <v>45</v>
      </c>
    </row>
    <row r="957" spans="1:11" x14ac:dyDescent="0.2">
      <c r="A957" s="1">
        <v>45609</v>
      </c>
      <c r="B957" t="s">
        <v>13</v>
      </c>
      <c r="C957" t="s">
        <v>11</v>
      </c>
      <c r="D957" t="s">
        <v>12</v>
      </c>
      <c r="E957">
        <v>5391</v>
      </c>
      <c r="F957">
        <v>1.25</v>
      </c>
      <c r="G957">
        <v>1.05</v>
      </c>
      <c r="H957">
        <v>6738.75</v>
      </c>
      <c r="I957">
        <v>5660.55</v>
      </c>
      <c r="J957">
        <v>1078.19999999999</v>
      </c>
      <c r="K957" t="s">
        <v>45</v>
      </c>
    </row>
    <row r="958" spans="1:11" x14ac:dyDescent="0.2">
      <c r="A958" s="1">
        <v>45641</v>
      </c>
      <c r="B958" t="s">
        <v>16</v>
      </c>
      <c r="C958" t="s">
        <v>20</v>
      </c>
      <c r="D958" t="s">
        <v>12</v>
      </c>
      <c r="E958">
        <v>5492</v>
      </c>
      <c r="F958">
        <v>1.25</v>
      </c>
      <c r="G958">
        <v>1.05</v>
      </c>
      <c r="H958">
        <v>6865</v>
      </c>
      <c r="I958">
        <v>5766.6</v>
      </c>
      <c r="J958">
        <v>1098.3999999999901</v>
      </c>
      <c r="K958" t="s">
        <v>46</v>
      </c>
    </row>
    <row r="959" spans="1:11" x14ac:dyDescent="0.2">
      <c r="A959" s="1">
        <v>45386</v>
      </c>
      <c r="B959" t="s">
        <v>19</v>
      </c>
      <c r="C959" t="s">
        <v>23</v>
      </c>
      <c r="D959" t="s">
        <v>12</v>
      </c>
      <c r="E959">
        <v>2461</v>
      </c>
      <c r="F959">
        <v>1.25</v>
      </c>
      <c r="G959">
        <v>1.05</v>
      </c>
      <c r="H959">
        <v>3076.25</v>
      </c>
      <c r="I959">
        <v>2584.0500000000002</v>
      </c>
      <c r="J959">
        <v>492.19999999999902</v>
      </c>
      <c r="K959" t="s">
        <v>38</v>
      </c>
    </row>
    <row r="960" spans="1:11" x14ac:dyDescent="0.2">
      <c r="A960" s="1">
        <v>45443</v>
      </c>
      <c r="B960" t="s">
        <v>13</v>
      </c>
      <c r="C960" t="s">
        <v>11</v>
      </c>
      <c r="D960" t="s">
        <v>18</v>
      </c>
      <c r="E960">
        <v>4805</v>
      </c>
      <c r="F960">
        <v>1.2</v>
      </c>
      <c r="G960">
        <v>1</v>
      </c>
      <c r="H960">
        <v>5766</v>
      </c>
      <c r="I960">
        <v>4805</v>
      </c>
      <c r="J960">
        <v>961</v>
      </c>
      <c r="K960" t="s">
        <v>39</v>
      </c>
    </row>
    <row r="961" spans="1:11" x14ac:dyDescent="0.2">
      <c r="A961" s="1">
        <v>45602</v>
      </c>
      <c r="B961" t="s">
        <v>15</v>
      </c>
      <c r="C961" t="s">
        <v>29</v>
      </c>
      <c r="D961" t="s">
        <v>18</v>
      </c>
      <c r="E961">
        <v>3363</v>
      </c>
      <c r="F961">
        <v>1.2</v>
      </c>
      <c r="G961">
        <v>1</v>
      </c>
      <c r="H961">
        <v>4035.6</v>
      </c>
      <c r="I961">
        <v>3363</v>
      </c>
      <c r="J961">
        <v>672.599999999999</v>
      </c>
      <c r="K961" t="s">
        <v>45</v>
      </c>
    </row>
    <row r="962" spans="1:11" x14ac:dyDescent="0.2">
      <c r="A962" s="1">
        <v>45428</v>
      </c>
      <c r="B962" t="s">
        <v>30</v>
      </c>
      <c r="C962" t="s">
        <v>11</v>
      </c>
      <c r="D962" t="s">
        <v>12</v>
      </c>
      <c r="E962">
        <v>3156</v>
      </c>
      <c r="F962">
        <v>1.25</v>
      </c>
      <c r="G962">
        <v>1.05</v>
      </c>
      <c r="H962">
        <v>3945</v>
      </c>
      <c r="I962">
        <v>3313.8</v>
      </c>
      <c r="J962">
        <v>631.19999999999902</v>
      </c>
      <c r="K962" t="s">
        <v>39</v>
      </c>
    </row>
    <row r="963" spans="1:11" x14ac:dyDescent="0.2">
      <c r="A963" s="1">
        <v>45538</v>
      </c>
      <c r="B963" t="s">
        <v>28</v>
      </c>
      <c r="C963" t="s">
        <v>20</v>
      </c>
      <c r="D963" t="s">
        <v>12</v>
      </c>
      <c r="E963">
        <v>2994</v>
      </c>
      <c r="F963">
        <v>1.25</v>
      </c>
      <c r="G963">
        <v>1.05</v>
      </c>
      <c r="H963">
        <v>3742.5</v>
      </c>
      <c r="I963">
        <v>3143.7</v>
      </c>
      <c r="J963">
        <v>598.79999999999905</v>
      </c>
      <c r="K963" t="s">
        <v>43</v>
      </c>
    </row>
    <row r="964" spans="1:11" x14ac:dyDescent="0.2">
      <c r="A964" s="1">
        <v>45534</v>
      </c>
      <c r="B964" t="s">
        <v>15</v>
      </c>
      <c r="C964" t="s">
        <v>29</v>
      </c>
      <c r="D964" t="s">
        <v>18</v>
      </c>
      <c r="E964">
        <v>5563</v>
      </c>
      <c r="F964">
        <v>1.2</v>
      </c>
      <c r="G964">
        <v>1</v>
      </c>
      <c r="H964">
        <v>6675.5999999999904</v>
      </c>
      <c r="I964">
        <v>5563</v>
      </c>
      <c r="J964">
        <v>1112.5999999999899</v>
      </c>
      <c r="K964" t="s">
        <v>42</v>
      </c>
    </row>
    <row r="965" spans="1:11" x14ac:dyDescent="0.2">
      <c r="A965" s="1">
        <v>45322</v>
      </c>
      <c r="B965" t="s">
        <v>16</v>
      </c>
      <c r="C965" t="s">
        <v>20</v>
      </c>
      <c r="D965" t="s">
        <v>12</v>
      </c>
      <c r="E965">
        <v>5067</v>
      </c>
      <c r="F965">
        <v>1.25</v>
      </c>
      <c r="G965">
        <v>1.05</v>
      </c>
      <c r="H965">
        <v>6333.75</v>
      </c>
      <c r="I965">
        <v>5320.35</v>
      </c>
      <c r="J965">
        <v>1013.39999999999</v>
      </c>
      <c r="K965" t="s">
        <v>35</v>
      </c>
    </row>
    <row r="966" spans="1:11" x14ac:dyDescent="0.2">
      <c r="A966" s="1">
        <v>45331</v>
      </c>
      <c r="B966" t="s">
        <v>21</v>
      </c>
      <c r="C966" t="s">
        <v>29</v>
      </c>
      <c r="D966" t="s">
        <v>18</v>
      </c>
      <c r="E966">
        <v>4505</v>
      </c>
      <c r="F966">
        <v>1.2</v>
      </c>
      <c r="G966">
        <v>1</v>
      </c>
      <c r="H966">
        <v>5406</v>
      </c>
      <c r="I966">
        <v>4505</v>
      </c>
      <c r="J966">
        <v>901</v>
      </c>
      <c r="K966" t="s">
        <v>36</v>
      </c>
    </row>
    <row r="967" spans="1:11" x14ac:dyDescent="0.2">
      <c r="A967" s="1">
        <v>45520</v>
      </c>
      <c r="B967" t="s">
        <v>22</v>
      </c>
      <c r="C967" t="s">
        <v>17</v>
      </c>
      <c r="D967" t="s">
        <v>14</v>
      </c>
      <c r="E967">
        <v>4063</v>
      </c>
      <c r="F967">
        <v>0.9</v>
      </c>
      <c r="G967">
        <v>0.7</v>
      </c>
      <c r="H967">
        <v>3656.7</v>
      </c>
      <c r="I967">
        <v>2844.1</v>
      </c>
      <c r="J967">
        <v>812.6</v>
      </c>
      <c r="K967" t="s">
        <v>42</v>
      </c>
    </row>
    <row r="968" spans="1:11" x14ac:dyDescent="0.2">
      <c r="A968" s="1">
        <v>45327</v>
      </c>
      <c r="B968" t="s">
        <v>10</v>
      </c>
      <c r="C968" t="s">
        <v>23</v>
      </c>
      <c r="D968" t="s">
        <v>12</v>
      </c>
      <c r="E968">
        <v>1422</v>
      </c>
      <c r="F968">
        <v>1.25</v>
      </c>
      <c r="G968">
        <v>1.05</v>
      </c>
      <c r="H968">
        <v>1777.5</v>
      </c>
      <c r="I968">
        <v>1493.1</v>
      </c>
      <c r="J968">
        <v>284.39999999999901</v>
      </c>
      <c r="K968" t="s">
        <v>36</v>
      </c>
    </row>
    <row r="969" spans="1:11" x14ac:dyDescent="0.2">
      <c r="A969" s="1">
        <v>45514</v>
      </c>
      <c r="B969" t="s">
        <v>10</v>
      </c>
      <c r="C969" t="s">
        <v>23</v>
      </c>
      <c r="D969" t="s">
        <v>12</v>
      </c>
      <c r="E969">
        <v>4732</v>
      </c>
      <c r="F969">
        <v>1.25</v>
      </c>
      <c r="G969">
        <v>1.05</v>
      </c>
      <c r="H969">
        <v>5915</v>
      </c>
      <c r="I969">
        <v>4968.6000000000004</v>
      </c>
      <c r="J969">
        <v>946.39999999999895</v>
      </c>
      <c r="K969" t="s">
        <v>42</v>
      </c>
    </row>
    <row r="970" spans="1:11" x14ac:dyDescent="0.2">
      <c r="A970" s="1">
        <v>45297</v>
      </c>
      <c r="B970" t="s">
        <v>19</v>
      </c>
      <c r="C970" t="s">
        <v>20</v>
      </c>
      <c r="D970" t="s">
        <v>18</v>
      </c>
      <c r="E970">
        <v>4962</v>
      </c>
      <c r="F970">
        <v>1.2</v>
      </c>
      <c r="G970">
        <v>1</v>
      </c>
      <c r="H970">
        <v>5954.4</v>
      </c>
      <c r="I970">
        <v>4962</v>
      </c>
      <c r="J970">
        <v>992.39999999999895</v>
      </c>
      <c r="K970" t="s">
        <v>35</v>
      </c>
    </row>
    <row r="971" spans="1:11" x14ac:dyDescent="0.2">
      <c r="A971" s="1">
        <v>45613</v>
      </c>
      <c r="B971" t="s">
        <v>16</v>
      </c>
      <c r="C971" t="s">
        <v>23</v>
      </c>
      <c r="D971" t="s">
        <v>18</v>
      </c>
      <c r="E971">
        <v>3459</v>
      </c>
      <c r="F971">
        <v>1.2</v>
      </c>
      <c r="G971">
        <v>1</v>
      </c>
      <c r="H971">
        <v>4150.8</v>
      </c>
      <c r="I971">
        <v>3459</v>
      </c>
      <c r="J971">
        <v>691.8</v>
      </c>
      <c r="K971" t="s">
        <v>45</v>
      </c>
    </row>
    <row r="972" spans="1:11" x14ac:dyDescent="0.2">
      <c r="A972" s="1">
        <v>45511</v>
      </c>
      <c r="B972" t="s">
        <v>26</v>
      </c>
      <c r="C972" t="s">
        <v>20</v>
      </c>
      <c r="D972" t="s">
        <v>18</v>
      </c>
      <c r="E972">
        <v>683</v>
      </c>
      <c r="F972">
        <v>1.2</v>
      </c>
      <c r="G972">
        <v>1</v>
      </c>
      <c r="H972">
        <v>819.6</v>
      </c>
      <c r="I972">
        <v>683</v>
      </c>
      <c r="J972">
        <v>136.6</v>
      </c>
      <c r="K972" t="s">
        <v>42</v>
      </c>
    </row>
    <row r="973" spans="1:11" x14ac:dyDescent="0.2">
      <c r="A973" s="1">
        <v>45366</v>
      </c>
      <c r="B973" t="s">
        <v>28</v>
      </c>
      <c r="C973" t="s">
        <v>20</v>
      </c>
      <c r="D973" t="s">
        <v>14</v>
      </c>
      <c r="E973">
        <v>3858</v>
      </c>
      <c r="F973">
        <v>0.9</v>
      </c>
      <c r="G973">
        <v>0.7</v>
      </c>
      <c r="H973">
        <v>3472.2</v>
      </c>
      <c r="I973">
        <v>2700.6</v>
      </c>
      <c r="J973">
        <v>771.6</v>
      </c>
      <c r="K973" t="s">
        <v>37</v>
      </c>
    </row>
    <row r="974" spans="1:11" x14ac:dyDescent="0.2">
      <c r="A974" s="1">
        <v>45295</v>
      </c>
      <c r="B974" t="s">
        <v>26</v>
      </c>
      <c r="C974" t="s">
        <v>20</v>
      </c>
      <c r="D974" t="s">
        <v>12</v>
      </c>
      <c r="E974">
        <v>1898</v>
      </c>
      <c r="F974">
        <v>1.25</v>
      </c>
      <c r="G974">
        <v>1.05</v>
      </c>
      <c r="H974">
        <v>2372.5</v>
      </c>
      <c r="I974">
        <v>1992.9</v>
      </c>
      <c r="J974">
        <v>379.599999999999</v>
      </c>
      <c r="K974" t="s">
        <v>35</v>
      </c>
    </row>
    <row r="975" spans="1:11" x14ac:dyDescent="0.2">
      <c r="A975" s="1">
        <v>45626</v>
      </c>
      <c r="B975" t="s">
        <v>24</v>
      </c>
      <c r="C975" t="s">
        <v>23</v>
      </c>
      <c r="D975" t="s">
        <v>18</v>
      </c>
      <c r="E975">
        <v>3296</v>
      </c>
      <c r="F975">
        <v>1.2</v>
      </c>
      <c r="G975">
        <v>1</v>
      </c>
      <c r="H975">
        <v>3955.2</v>
      </c>
      <c r="I975">
        <v>3296</v>
      </c>
      <c r="J975">
        <v>659.19999999999902</v>
      </c>
      <c r="K975" t="s">
        <v>45</v>
      </c>
    </row>
    <row r="976" spans="1:11" x14ac:dyDescent="0.2">
      <c r="A976" s="1">
        <v>45425</v>
      </c>
      <c r="B976" t="s">
        <v>32</v>
      </c>
      <c r="C976" t="s">
        <v>20</v>
      </c>
      <c r="D976" t="s">
        <v>18</v>
      </c>
      <c r="E976">
        <v>1036</v>
      </c>
      <c r="F976">
        <v>1.2</v>
      </c>
      <c r="G976">
        <v>1</v>
      </c>
      <c r="H976">
        <v>1243.2</v>
      </c>
      <c r="I976">
        <v>1036</v>
      </c>
      <c r="J976">
        <v>207.2</v>
      </c>
      <c r="K976" t="s">
        <v>39</v>
      </c>
    </row>
    <row r="977" spans="1:11" x14ac:dyDescent="0.2">
      <c r="A977" s="1">
        <v>45409</v>
      </c>
      <c r="B977" t="s">
        <v>24</v>
      </c>
      <c r="C977" t="s">
        <v>23</v>
      </c>
      <c r="D977" t="s">
        <v>14</v>
      </c>
      <c r="E977">
        <v>1773</v>
      </c>
      <c r="F977">
        <v>0.9</v>
      </c>
      <c r="G977">
        <v>0.7</v>
      </c>
      <c r="H977">
        <v>1595.7</v>
      </c>
      <c r="I977">
        <v>1241.0999999999999</v>
      </c>
      <c r="J977">
        <v>354.6</v>
      </c>
      <c r="K977" t="s">
        <v>38</v>
      </c>
    </row>
    <row r="978" spans="1:11" x14ac:dyDescent="0.2">
      <c r="A978" s="1">
        <v>45385</v>
      </c>
      <c r="B978" t="s">
        <v>15</v>
      </c>
      <c r="C978" t="s">
        <v>20</v>
      </c>
      <c r="D978" t="s">
        <v>12</v>
      </c>
      <c r="E978">
        <v>3467</v>
      </c>
      <c r="F978">
        <v>1.25</v>
      </c>
      <c r="G978">
        <v>1.05</v>
      </c>
      <c r="H978">
        <v>4333.75</v>
      </c>
      <c r="I978">
        <v>3640.35</v>
      </c>
      <c r="J978">
        <v>693.39999999999895</v>
      </c>
      <c r="K978" t="s">
        <v>38</v>
      </c>
    </row>
    <row r="979" spans="1:11" x14ac:dyDescent="0.2">
      <c r="A979" s="1">
        <v>45353</v>
      </c>
      <c r="B979" t="s">
        <v>13</v>
      </c>
      <c r="C979" t="s">
        <v>11</v>
      </c>
      <c r="D979" t="s">
        <v>18</v>
      </c>
      <c r="E979">
        <v>3549</v>
      </c>
      <c r="F979">
        <v>1.2</v>
      </c>
      <c r="G979">
        <v>1</v>
      </c>
      <c r="H979">
        <v>4258.8</v>
      </c>
      <c r="I979">
        <v>3549</v>
      </c>
      <c r="J979">
        <v>709.8</v>
      </c>
      <c r="K979" t="s">
        <v>37</v>
      </c>
    </row>
    <row r="980" spans="1:11" x14ac:dyDescent="0.2">
      <c r="A980" s="1">
        <v>45485</v>
      </c>
      <c r="B980" t="s">
        <v>21</v>
      </c>
      <c r="C980" t="s">
        <v>20</v>
      </c>
      <c r="D980" t="s">
        <v>18</v>
      </c>
      <c r="E980">
        <v>1596</v>
      </c>
      <c r="F980">
        <v>1.2</v>
      </c>
      <c r="G980">
        <v>1</v>
      </c>
      <c r="H980">
        <v>1915.19999999999</v>
      </c>
      <c r="I980">
        <v>1596</v>
      </c>
      <c r="J980">
        <v>319.19999999999902</v>
      </c>
      <c r="K980" t="s">
        <v>41</v>
      </c>
    </row>
    <row r="981" spans="1:11" x14ac:dyDescent="0.2">
      <c r="A981" s="1">
        <v>45626</v>
      </c>
      <c r="B981" t="s">
        <v>19</v>
      </c>
      <c r="C981" t="s">
        <v>29</v>
      </c>
      <c r="D981" t="s">
        <v>12</v>
      </c>
      <c r="E981">
        <v>1805</v>
      </c>
      <c r="F981">
        <v>1.25</v>
      </c>
      <c r="G981">
        <v>1.05</v>
      </c>
      <c r="H981">
        <v>2256.25</v>
      </c>
      <c r="I981">
        <v>1895.25</v>
      </c>
      <c r="J981">
        <v>361</v>
      </c>
      <c r="K981" t="s">
        <v>45</v>
      </c>
    </row>
    <row r="982" spans="1:11" x14ac:dyDescent="0.2">
      <c r="A982" s="1">
        <v>45494</v>
      </c>
      <c r="B982" t="s">
        <v>15</v>
      </c>
      <c r="C982" t="s">
        <v>20</v>
      </c>
      <c r="D982" t="s">
        <v>12</v>
      </c>
      <c r="E982">
        <v>1415</v>
      </c>
      <c r="F982">
        <v>1.25</v>
      </c>
      <c r="G982">
        <v>1.05</v>
      </c>
      <c r="H982">
        <v>1768.75</v>
      </c>
      <c r="I982">
        <v>1485.75</v>
      </c>
      <c r="J982">
        <v>283</v>
      </c>
      <c r="K982" t="s">
        <v>41</v>
      </c>
    </row>
    <row r="983" spans="1:11" x14ac:dyDescent="0.2">
      <c r="A983" s="1">
        <v>45317</v>
      </c>
      <c r="B983" t="s">
        <v>31</v>
      </c>
      <c r="C983" t="s">
        <v>17</v>
      </c>
      <c r="D983" t="s">
        <v>14</v>
      </c>
      <c r="E983">
        <v>3581</v>
      </c>
      <c r="F983">
        <v>0.9</v>
      </c>
      <c r="G983">
        <v>0.7</v>
      </c>
      <c r="H983">
        <v>3222.9</v>
      </c>
      <c r="I983">
        <v>2506.6999999999998</v>
      </c>
      <c r="J983">
        <v>716.2</v>
      </c>
      <c r="K983" t="s">
        <v>35</v>
      </c>
    </row>
    <row r="984" spans="1:11" x14ac:dyDescent="0.2">
      <c r="A984" s="1">
        <v>45464</v>
      </c>
      <c r="B984" t="s">
        <v>28</v>
      </c>
      <c r="C984" t="s">
        <v>20</v>
      </c>
      <c r="D984" t="s">
        <v>12</v>
      </c>
      <c r="E984">
        <v>4747</v>
      </c>
      <c r="F984">
        <v>1.25</v>
      </c>
      <c r="G984">
        <v>1.05</v>
      </c>
      <c r="H984">
        <v>5933.75</v>
      </c>
      <c r="I984">
        <v>4984.3500000000004</v>
      </c>
      <c r="J984">
        <v>949.39999999999895</v>
      </c>
      <c r="K984" t="s">
        <v>40</v>
      </c>
    </row>
    <row r="985" spans="1:11" x14ac:dyDescent="0.2">
      <c r="A985" s="1">
        <v>45591</v>
      </c>
      <c r="B985" t="s">
        <v>10</v>
      </c>
      <c r="C985" t="s">
        <v>29</v>
      </c>
      <c r="D985" t="s">
        <v>12</v>
      </c>
      <c r="E985">
        <v>1528</v>
      </c>
      <c r="F985">
        <v>1.25</v>
      </c>
      <c r="G985">
        <v>1.05</v>
      </c>
      <c r="H985">
        <v>1910</v>
      </c>
      <c r="I985">
        <v>1604.4</v>
      </c>
      <c r="J985">
        <v>305.599999999999</v>
      </c>
      <c r="K985" t="s">
        <v>44</v>
      </c>
    </row>
    <row r="986" spans="1:11" x14ac:dyDescent="0.2">
      <c r="A986" s="1">
        <v>45424</v>
      </c>
      <c r="B986" t="s">
        <v>28</v>
      </c>
      <c r="C986" t="s">
        <v>29</v>
      </c>
      <c r="D986" t="s">
        <v>12</v>
      </c>
      <c r="E986">
        <v>5814</v>
      </c>
      <c r="F986">
        <v>1.25</v>
      </c>
      <c r="G986">
        <v>1.05</v>
      </c>
      <c r="H986">
        <v>7267.5</v>
      </c>
      <c r="I986">
        <v>6104.7</v>
      </c>
      <c r="J986">
        <v>1162.8</v>
      </c>
      <c r="K986" t="s">
        <v>39</v>
      </c>
    </row>
    <row r="987" spans="1:11" x14ac:dyDescent="0.2">
      <c r="A987" s="1">
        <v>45617</v>
      </c>
      <c r="B987" t="s">
        <v>15</v>
      </c>
      <c r="C987" t="s">
        <v>23</v>
      </c>
      <c r="D987" t="s">
        <v>14</v>
      </c>
      <c r="E987">
        <v>2477</v>
      </c>
      <c r="F987">
        <v>0.9</v>
      </c>
      <c r="G987">
        <v>0.7</v>
      </c>
      <c r="H987">
        <v>2229.3000000000002</v>
      </c>
      <c r="I987">
        <v>1733.8999999999901</v>
      </c>
      <c r="J987">
        <v>495.4</v>
      </c>
      <c r="K987" t="s">
        <v>45</v>
      </c>
    </row>
    <row r="988" spans="1:11" x14ac:dyDescent="0.2">
      <c r="A988" s="1">
        <v>45409</v>
      </c>
      <c r="B988" t="s">
        <v>15</v>
      </c>
      <c r="C988" t="s">
        <v>11</v>
      </c>
      <c r="D988" t="s">
        <v>18</v>
      </c>
      <c r="E988">
        <v>3854</v>
      </c>
      <c r="F988">
        <v>1.2</v>
      </c>
      <c r="G988">
        <v>1</v>
      </c>
      <c r="H988">
        <v>4624.8</v>
      </c>
      <c r="I988">
        <v>3854</v>
      </c>
      <c r="J988">
        <v>770.8</v>
      </c>
      <c r="K988" t="s">
        <v>38</v>
      </c>
    </row>
    <row r="989" spans="1:11" x14ac:dyDescent="0.2">
      <c r="A989" s="1">
        <v>45615</v>
      </c>
      <c r="B989" t="s">
        <v>16</v>
      </c>
      <c r="C989" t="s">
        <v>20</v>
      </c>
      <c r="D989" t="s">
        <v>18</v>
      </c>
      <c r="E989">
        <v>3011</v>
      </c>
      <c r="F989">
        <v>1.2</v>
      </c>
      <c r="G989">
        <v>1</v>
      </c>
      <c r="H989">
        <v>3613.2</v>
      </c>
      <c r="I989">
        <v>3011</v>
      </c>
      <c r="J989">
        <v>602.19999999999902</v>
      </c>
      <c r="K989" t="s">
        <v>45</v>
      </c>
    </row>
    <row r="990" spans="1:11" x14ac:dyDescent="0.2">
      <c r="A990" s="1">
        <v>45566</v>
      </c>
      <c r="B990" t="s">
        <v>13</v>
      </c>
      <c r="C990" t="s">
        <v>23</v>
      </c>
      <c r="D990" t="s">
        <v>12</v>
      </c>
      <c r="E990">
        <v>770</v>
      </c>
      <c r="F990">
        <v>1.25</v>
      </c>
      <c r="G990">
        <v>1.05</v>
      </c>
      <c r="H990">
        <v>962.5</v>
      </c>
      <c r="I990">
        <v>808.5</v>
      </c>
      <c r="J990">
        <v>154</v>
      </c>
      <c r="K990" t="s">
        <v>44</v>
      </c>
    </row>
    <row r="991" spans="1:11" x14ac:dyDescent="0.2">
      <c r="A991" s="1">
        <v>45503</v>
      </c>
      <c r="B991" t="s">
        <v>24</v>
      </c>
      <c r="C991" t="s">
        <v>11</v>
      </c>
      <c r="D991" t="s">
        <v>18</v>
      </c>
      <c r="E991">
        <v>1686</v>
      </c>
      <c r="F991">
        <v>1.2</v>
      </c>
      <c r="G991">
        <v>1</v>
      </c>
      <c r="H991">
        <v>2023.19999999999</v>
      </c>
      <c r="I991">
        <v>1686</v>
      </c>
      <c r="J991">
        <v>337.19999999999902</v>
      </c>
      <c r="K991" t="s">
        <v>41</v>
      </c>
    </row>
    <row r="992" spans="1:11" x14ac:dyDescent="0.2">
      <c r="A992" s="1">
        <v>45516</v>
      </c>
      <c r="B992" t="s">
        <v>10</v>
      </c>
      <c r="C992" t="s">
        <v>20</v>
      </c>
      <c r="D992" t="s">
        <v>18</v>
      </c>
      <c r="E992">
        <v>5055</v>
      </c>
      <c r="F992">
        <v>1.2</v>
      </c>
      <c r="G992">
        <v>1</v>
      </c>
      <c r="H992">
        <v>6066</v>
      </c>
      <c r="I992">
        <v>5055</v>
      </c>
      <c r="J992">
        <v>1011</v>
      </c>
      <c r="K992" t="s">
        <v>42</v>
      </c>
    </row>
    <row r="993" spans="1:11" x14ac:dyDescent="0.2">
      <c r="A993" s="1">
        <v>45311</v>
      </c>
      <c r="B993" t="s">
        <v>32</v>
      </c>
      <c r="C993" t="s">
        <v>17</v>
      </c>
      <c r="D993" t="s">
        <v>18</v>
      </c>
      <c r="E993">
        <v>4700</v>
      </c>
      <c r="F993">
        <v>1.2</v>
      </c>
      <c r="G993">
        <v>1</v>
      </c>
      <c r="H993">
        <v>5640</v>
      </c>
      <c r="I993">
        <v>4700</v>
      </c>
      <c r="J993">
        <v>940</v>
      </c>
      <c r="K993" t="s">
        <v>35</v>
      </c>
    </row>
    <row r="994" spans="1:11" x14ac:dyDescent="0.2">
      <c r="A994" s="1">
        <v>45404</v>
      </c>
      <c r="B994" t="s">
        <v>13</v>
      </c>
      <c r="C994" t="s">
        <v>20</v>
      </c>
      <c r="D994" t="s">
        <v>14</v>
      </c>
      <c r="E994">
        <v>4264</v>
      </c>
      <c r="F994">
        <v>0.9</v>
      </c>
      <c r="G994">
        <v>0.7</v>
      </c>
      <c r="H994">
        <v>3837.6</v>
      </c>
      <c r="I994">
        <v>2984.7999999999902</v>
      </c>
      <c r="J994">
        <v>852.8</v>
      </c>
      <c r="K994" t="s">
        <v>38</v>
      </c>
    </row>
    <row r="995" spans="1:11" x14ac:dyDescent="0.2">
      <c r="A995" s="1">
        <v>45431</v>
      </c>
      <c r="B995" t="s">
        <v>22</v>
      </c>
      <c r="C995" t="s">
        <v>29</v>
      </c>
      <c r="D995" t="s">
        <v>12</v>
      </c>
      <c r="E995">
        <v>2898</v>
      </c>
      <c r="F995">
        <v>1.25</v>
      </c>
      <c r="G995">
        <v>1.05</v>
      </c>
      <c r="H995">
        <v>3622.5</v>
      </c>
      <c r="I995">
        <v>3042.9</v>
      </c>
      <c r="J995">
        <v>579.599999999999</v>
      </c>
      <c r="K995" t="s">
        <v>39</v>
      </c>
    </row>
    <row r="996" spans="1:11" x14ac:dyDescent="0.2">
      <c r="A996" s="1">
        <v>45338</v>
      </c>
      <c r="B996" t="s">
        <v>16</v>
      </c>
      <c r="C996" t="s">
        <v>29</v>
      </c>
      <c r="D996" t="s">
        <v>18</v>
      </c>
      <c r="E996">
        <v>5029</v>
      </c>
      <c r="F996">
        <v>1.2</v>
      </c>
      <c r="G996">
        <v>1</v>
      </c>
      <c r="H996">
        <v>6034.8</v>
      </c>
      <c r="I996">
        <v>5029</v>
      </c>
      <c r="J996">
        <v>1005.8</v>
      </c>
      <c r="K996" t="s">
        <v>36</v>
      </c>
    </row>
    <row r="997" spans="1:11" x14ac:dyDescent="0.2">
      <c r="A997" s="1">
        <v>45292</v>
      </c>
      <c r="B997" t="s">
        <v>16</v>
      </c>
      <c r="C997" t="s">
        <v>17</v>
      </c>
      <c r="D997" t="s">
        <v>12</v>
      </c>
      <c r="E997">
        <v>4735</v>
      </c>
      <c r="F997">
        <v>1.25</v>
      </c>
      <c r="G997">
        <v>1.05</v>
      </c>
      <c r="H997">
        <v>5918.75</v>
      </c>
      <c r="I997">
        <v>4971.75</v>
      </c>
      <c r="J997">
        <v>947</v>
      </c>
      <c r="K997" t="s">
        <v>35</v>
      </c>
    </row>
    <row r="998" spans="1:11" x14ac:dyDescent="0.2">
      <c r="A998" s="1">
        <v>45381</v>
      </c>
      <c r="B998" t="s">
        <v>19</v>
      </c>
      <c r="C998" t="s">
        <v>23</v>
      </c>
      <c r="D998" t="s">
        <v>18</v>
      </c>
      <c r="E998">
        <v>4682</v>
      </c>
      <c r="F998">
        <v>1.2</v>
      </c>
      <c r="G998">
        <v>1</v>
      </c>
      <c r="H998">
        <v>5618.4</v>
      </c>
      <c r="I998">
        <v>4682</v>
      </c>
      <c r="J998">
        <v>936.39999999999895</v>
      </c>
      <c r="K998" t="s">
        <v>37</v>
      </c>
    </row>
    <row r="999" spans="1:11" x14ac:dyDescent="0.2">
      <c r="A999" s="1">
        <v>45433</v>
      </c>
      <c r="B999" t="s">
        <v>21</v>
      </c>
      <c r="C999" t="s">
        <v>11</v>
      </c>
      <c r="D999" t="s">
        <v>12</v>
      </c>
      <c r="E999">
        <v>2211</v>
      </c>
      <c r="F999">
        <v>1.25</v>
      </c>
      <c r="G999">
        <v>1.05</v>
      </c>
      <c r="H999">
        <v>2763.75</v>
      </c>
      <c r="I999">
        <v>2321.5500000000002</v>
      </c>
      <c r="J999">
        <v>442.19999999999902</v>
      </c>
      <c r="K999" t="s">
        <v>39</v>
      </c>
    </row>
    <row r="1000" spans="1:11" x14ac:dyDescent="0.2">
      <c r="A1000" s="1">
        <v>45611</v>
      </c>
      <c r="B1000" t="s">
        <v>32</v>
      </c>
      <c r="C1000" t="s">
        <v>20</v>
      </c>
      <c r="D1000" t="s">
        <v>12</v>
      </c>
      <c r="E1000">
        <v>2730</v>
      </c>
      <c r="F1000">
        <v>1.25</v>
      </c>
      <c r="G1000">
        <v>1.05</v>
      </c>
      <c r="H1000">
        <v>3412.5</v>
      </c>
      <c r="I1000">
        <v>2866.5</v>
      </c>
      <c r="J1000">
        <v>546</v>
      </c>
      <c r="K1000" t="s">
        <v>45</v>
      </c>
    </row>
    <row r="1001" spans="1:11" x14ac:dyDescent="0.2">
      <c r="A1001" s="1">
        <v>45329</v>
      </c>
      <c r="B1001" t="s">
        <v>30</v>
      </c>
      <c r="C1001" t="s">
        <v>29</v>
      </c>
      <c r="D1001" t="s">
        <v>12</v>
      </c>
      <c r="E1001">
        <v>628</v>
      </c>
      <c r="F1001">
        <v>1.25</v>
      </c>
      <c r="G1001">
        <v>1.05</v>
      </c>
      <c r="H1001">
        <v>785</v>
      </c>
      <c r="I1001">
        <v>659.4</v>
      </c>
      <c r="J1001">
        <v>125.6</v>
      </c>
      <c r="K1001" t="s">
        <v>36</v>
      </c>
    </row>
    <row r="1002" spans="1:11" x14ac:dyDescent="0.2">
      <c r="A1002" s="1">
        <v>45584</v>
      </c>
      <c r="B1002" t="s">
        <v>25</v>
      </c>
      <c r="C1002" t="s">
        <v>23</v>
      </c>
      <c r="D1002" t="s">
        <v>18</v>
      </c>
      <c r="E1002">
        <v>1769</v>
      </c>
      <c r="F1002">
        <v>1.2</v>
      </c>
      <c r="G1002">
        <v>1</v>
      </c>
      <c r="H1002">
        <v>2122.7999999999902</v>
      </c>
      <c r="I1002">
        <v>1769</v>
      </c>
      <c r="J1002">
        <v>353.79999999999899</v>
      </c>
      <c r="K1002" t="s">
        <v>44</v>
      </c>
    </row>
    <row r="1003" spans="1:11" x14ac:dyDescent="0.2">
      <c r="A1003" s="1">
        <v>45430</v>
      </c>
      <c r="B1003" t="s">
        <v>30</v>
      </c>
      <c r="C1003" t="s">
        <v>17</v>
      </c>
      <c r="D1003" t="s">
        <v>12</v>
      </c>
      <c r="E1003">
        <v>4172</v>
      </c>
      <c r="F1003">
        <v>1.25</v>
      </c>
      <c r="G1003">
        <v>1.05</v>
      </c>
      <c r="H1003">
        <v>5215</v>
      </c>
      <c r="I1003">
        <v>4380.6000000000004</v>
      </c>
      <c r="J1003">
        <v>834.39999999999895</v>
      </c>
      <c r="K1003"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Sales Dashboard</vt:lpstr>
      <vt:lpstr>Logistics Dashboard</vt:lpstr>
      <vt:lpstr>Dataset</vt:lpstr>
      <vt:lpstr>Pivot for logistics</vt:lpstr>
      <vt:lpstr>Pivot tables</vt:lpstr>
      <vt:lpstr>Key cards</vt:lpstr>
      <vt:lpstr>Detail1</vt:lpstr>
      <vt:lpstr>'Logistics Dashboard'!Print_Area</vt:lpstr>
      <vt:lpstr>'Sales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Henrietta Mensah</dc:creator>
  <cp:lastModifiedBy>Henrietta Mensah</cp:lastModifiedBy>
  <cp:lastPrinted>2026-03-15T11:26:58Z</cp:lastPrinted>
  <dcterms:created xsi:type="dcterms:W3CDTF">2026-03-15T07:10:52Z</dcterms:created>
  <dcterms:modified xsi:type="dcterms:W3CDTF">2026-03-28T09:08:46Z</dcterms:modified>
</cp:coreProperties>
</file>